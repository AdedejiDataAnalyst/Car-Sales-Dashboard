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p Reference Table" sheetId="1" r:id="rId5"/>
    <sheet state="visible" name="Farmer Data" sheetId="2" r:id="rId6"/>
    <sheet state="visible" name="Calculations" sheetId="3" r:id="rId7"/>
    <sheet state="visible" name="Dashboard" sheetId="4" r:id="rId8"/>
  </sheets>
  <definedNames/>
  <calcPr/>
</workbook>
</file>

<file path=xl/sharedStrings.xml><?xml version="1.0" encoding="utf-8"?>
<sst xmlns="http://schemas.openxmlformats.org/spreadsheetml/2006/main" count="60" uniqueCount="44">
  <si>
    <t>AGRISURE — Crop Reference Table</t>
  </si>
  <si>
    <t>Crop</t>
  </si>
  <si>
    <t>Base Yield (t/ha)</t>
  </si>
  <si>
    <t>Input Cost (₦/ha)</t>
  </si>
  <si>
    <t>Market Price (₦/tonne)</t>
  </si>
  <si>
    <t>Maize</t>
  </si>
  <si>
    <t>Rice</t>
  </si>
  <si>
    <t>Cassava</t>
  </si>
  <si>
    <t>Soyabeans</t>
  </si>
  <si>
    <t>AGRISURE — Farmer Sample Dataset (Input Data)</t>
  </si>
  <si>
    <t>Farmer Name</t>
  </si>
  <si>
    <t>Farm Size (ha)</t>
  </si>
  <si>
    <t>Actual Input Spend (₦)</t>
  </si>
  <si>
    <t>Loan Requested (₦)</t>
  </si>
  <si>
    <t>Season (months)</t>
  </si>
  <si>
    <t>Samuel Mwangi</t>
  </si>
  <si>
    <t>Ahmed Ali</t>
  </si>
  <si>
    <t>Beatrice Kimani</t>
  </si>
  <si>
    <t>David Mwangi</t>
  </si>
  <si>
    <t>Sarah Otieno</t>
  </si>
  <si>
    <t>Emmanuel Kibet</t>
  </si>
  <si>
    <t>Linah Chemutai</t>
  </si>
  <si>
    <t>AGRISURE — Yield Prediction &amp; Loan Risk Calculations</t>
  </si>
  <si>
    <t>Input Efficiency</t>
  </si>
  <si>
    <t>Predicted Yield (t)</t>
  </si>
  <si>
    <t>Projected Revenue (₦)</t>
  </si>
  <si>
    <t>Risk Score</t>
  </si>
  <si>
    <t>Loan Decision</t>
  </si>
  <si>
    <t>RISK THRESHOLD KEY</t>
  </si>
  <si>
    <t>Threshold:</t>
  </si>
  <si>
    <t>Risk Score &lt; 0.50</t>
  </si>
  <si>
    <t>✅ Approve</t>
  </si>
  <si>
    <t>Risk Score 0.50 – 0.75</t>
  </si>
  <si>
    <t>🟡 Conditional Approval</t>
  </si>
  <si>
    <t>Risk Score &gt; 0.75</t>
  </si>
  <si>
    <t>❌ Reject</t>
  </si>
  <si>
    <t>AGRISURE — Results Dashboard</t>
  </si>
  <si>
    <t>Summary of yield predictions and loan decisions across all Farmers</t>
  </si>
  <si>
    <t>Total Farmers</t>
  </si>
  <si>
    <t>✅ Approved</t>
  </si>
  <si>
    <t>🟡 Conditional</t>
  </si>
  <si>
    <t>❌ Rejected</t>
  </si>
  <si>
    <t>Farmer</t>
  </si>
  <si>
    <t>Decision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</si>
</sst>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₦]#,##0"/>
    <numFmt numFmtId="165" formatCode="0.0"/>
  </numFmts>
  <fonts count="22">
    <font>
      <sz val="10.0"/>
      <color rgb="FF000000"/>
      <name val="Arial"/>
      <scheme val="minor"/>
    </font>
    <font>
      <b/>
      <sz val="14.0"/>
      <color rgb="FFFFFFFF"/>
      <name val="Roboto Serif"/>
    </font>
    <font>
      <b/>
      <color rgb="FFF3F3F3"/>
      <name val="Roboto Serif"/>
    </font>
    <font>
      <b/>
      <color theme="1"/>
      <name val="Roboto Serif"/>
    </font>
    <font>
      <color theme="1"/>
      <name val="Roboto Serif"/>
    </font>
    <font/>
    <font>
      <color theme="1"/>
      <name val="Arial"/>
      <scheme val="minor"/>
    </font>
    <font>
      <b/>
      <sz val="10.0"/>
      <color theme="1"/>
      <name val="Roboto Serif"/>
    </font>
    <font>
      <b/>
      <color rgb="FFFFFFFF"/>
      <name val="Roboto Serif"/>
    </font>
    <font>
      <color rgb="FF595959"/>
      <name val="Roboto Serif"/>
    </font>
    <font>
      <b/>
      <color rgb="FF276221"/>
      <name val="Roboto Serif"/>
    </font>
    <font>
      <b/>
      <color rgb="FF9C6500"/>
      <name val="Roboto Serif"/>
    </font>
    <font>
      <b/>
      <color rgb="FF9C0006"/>
      <name val="Roboto Serif"/>
    </font>
    <font>
      <b/>
      <sz val="18.0"/>
      <color rgb="FFFFFFFF"/>
      <name val="Roboto Serif"/>
    </font>
    <font>
      <b/>
      <sz val="26.0"/>
      <color rgb="FFFFFFFF"/>
      <name val="Roboto Serif"/>
    </font>
    <font>
      <b/>
      <sz val="21.0"/>
      <color rgb="FF276221"/>
      <name val="Roboto Serif"/>
    </font>
    <font>
      <b/>
      <sz val="21.0"/>
      <color rgb="FF9C6500"/>
      <name val="Roboto Serif"/>
    </font>
    <font>
      <b/>
      <sz val="21.0"/>
      <color rgb="FF9C0006"/>
      <name val="Roboto Serif"/>
    </font>
    <font>
      <b/>
      <sz val="10.0"/>
      <color rgb="FFFFFFFF"/>
      <name val="Roboto Serif"/>
    </font>
    <font>
      <b/>
      <sz val="10.0"/>
      <color rgb="FF276221"/>
      <name val="Roboto Serif"/>
    </font>
    <font>
      <b/>
      <sz val="10.0"/>
      <color rgb="FF9C6500"/>
      <name val="Roboto Serif"/>
    </font>
    <font>
      <b/>
      <sz val="10.0"/>
      <color rgb="FF9C0006"/>
      <name val="Roboto Serif"/>
    </font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1B4D1C"/>
        <bgColor rgb="FF1B4D1C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B6D7A8"/>
        <bgColor rgb="FFB6D7A8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2" fontId="1" numFmtId="0" xfId="0" applyAlignment="1" applyBorder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0" fillId="0" fontId="4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readingOrder="0"/>
    </xf>
    <xf borderId="0" fillId="0" fontId="4" numFmtId="164" xfId="0" applyFont="1" applyNumberFormat="1"/>
    <xf borderId="0" fillId="0" fontId="4" numFmtId="164" xfId="0" applyAlignment="1" applyFont="1" applyNumberFormat="1">
      <alignment readingOrder="0"/>
    </xf>
    <xf borderId="0" fillId="0" fontId="4" numFmtId="1" xfId="0" applyAlignment="1" applyFont="1" applyNumberFormat="1">
      <alignment readingOrder="0"/>
    </xf>
    <xf borderId="0" fillId="0" fontId="3" numFmtId="0" xfId="0" applyFont="1"/>
    <xf borderId="0" fillId="0" fontId="4" numFmtId="2" xfId="0" applyFont="1" applyNumberFormat="1"/>
    <xf borderId="0" fillId="0" fontId="4" numFmtId="165" xfId="0" applyFont="1" applyNumberFormat="1"/>
    <xf borderId="0" fillId="0" fontId="4" numFmtId="0" xfId="0" applyFont="1"/>
    <xf borderId="0" fillId="0" fontId="6" numFmtId="0" xfId="0" applyFont="1"/>
    <xf borderId="4" fillId="4" fontId="8" numFmtId="0" xfId="0" applyAlignment="1" applyBorder="1" applyFill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7" fillId="5" fontId="9" numFmtId="0" xfId="0" applyAlignment="1" applyBorder="1" applyFill="1" applyFont="1">
      <alignment horizontal="right" shrinkToFit="0" wrapText="1"/>
    </xf>
    <xf borderId="4" fillId="5" fontId="3" numFmtId="0" xfId="0" applyAlignment="1" applyBorder="1" applyFont="1">
      <alignment shrinkToFit="0" wrapText="1"/>
    </xf>
    <xf borderId="4" fillId="6" fontId="10" numFmtId="0" xfId="0" applyAlignment="1" applyBorder="1" applyFill="1" applyFont="1">
      <alignment horizontal="center" shrinkToFit="0" wrapText="1"/>
    </xf>
    <xf borderId="4" fillId="7" fontId="11" numFmtId="0" xfId="0" applyAlignment="1" applyBorder="1" applyFill="1" applyFont="1">
      <alignment horizontal="center" shrinkToFit="0" wrapText="1"/>
    </xf>
    <xf borderId="4" fillId="8" fontId="12" numFmtId="0" xfId="0" applyAlignment="1" applyBorder="1" applyFill="1" applyFont="1">
      <alignment horizontal="center" shrinkToFit="0" wrapText="1"/>
    </xf>
    <xf borderId="0" fillId="2" fontId="13" numFmtId="0" xfId="0" applyAlignment="1" applyFont="1">
      <alignment horizontal="center" vertical="center"/>
    </xf>
    <xf borderId="0" fillId="0" fontId="6" numFmtId="0" xfId="0" applyFont="1"/>
    <xf borderId="1" fillId="9" fontId="8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vertical="center"/>
    </xf>
    <xf borderId="0" fillId="2" fontId="14" numFmtId="0" xfId="0" applyAlignment="1" applyFont="1">
      <alignment horizontal="center" vertical="center"/>
    </xf>
    <xf borderId="7" fillId="6" fontId="15" numFmtId="0" xfId="0" applyAlignment="1" applyBorder="1" applyFont="1">
      <alignment horizontal="center" shrinkToFit="0" vertical="center" wrapText="0"/>
    </xf>
    <xf borderId="7" fillId="7" fontId="16" numFmtId="0" xfId="0" applyAlignment="1" applyBorder="1" applyFont="1">
      <alignment horizontal="center" shrinkToFit="0" vertical="center" wrapText="0"/>
    </xf>
    <xf borderId="7" fillId="8" fontId="17" numFmtId="0" xfId="0" applyAlignment="1" applyBorder="1" applyFont="1">
      <alignment horizontal="center" shrinkToFit="0" vertical="center" wrapText="0"/>
    </xf>
    <xf borderId="0" fillId="2" fontId="18" numFmtId="0" xfId="0" applyAlignment="1" applyFont="1">
      <alignment horizontal="center" vertical="center"/>
    </xf>
    <xf borderId="7" fillId="6" fontId="19" numFmtId="0" xfId="0" applyAlignment="1" applyBorder="1" applyFont="1">
      <alignment horizontal="center" shrinkToFit="0" vertical="center" wrapText="0"/>
    </xf>
    <xf borderId="7" fillId="7" fontId="20" numFmtId="0" xfId="0" applyAlignment="1" applyBorder="1" applyFont="1">
      <alignment horizontal="center" shrinkToFit="0" vertical="center" wrapText="0"/>
    </xf>
    <xf borderId="7" fillId="8" fontId="21" numFmtId="0" xfId="0" applyAlignment="1" applyBorder="1" applyFont="1">
      <alignment horizontal="center" shrinkToFit="0" vertical="center" wrapText="0"/>
    </xf>
    <xf borderId="7" fillId="2" fontId="8" numFmtId="0" xfId="0" applyAlignment="1" applyBorder="1" applyFont="1">
      <alignment horizontal="center" shrinkToFit="0" vertical="center" wrapText="1"/>
    </xf>
    <xf borderId="0" fillId="0" fontId="4" numFmtId="1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7.88"/>
    <col customWidth="1" min="3" max="3" width="20.25"/>
    <col customWidth="1" min="4" max="4" width="24.25"/>
  </cols>
  <sheetData>
    <row r="1" ht="36.0" customHeight="1">
      <c r="A1" s="1" t="s">
        <v>0</v>
      </c>
    </row>
    <row r="2" ht="22.5" customHeight="1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4">
        <v>2.5</v>
      </c>
      <c r="C3" s="4">
        <v>561000.0</v>
      </c>
      <c r="D3" s="4">
        <v>120000.0</v>
      </c>
    </row>
    <row r="4">
      <c r="A4" s="3" t="s">
        <v>6</v>
      </c>
      <c r="B4" s="4">
        <v>1.9</v>
      </c>
      <c r="C4" s="4">
        <v>583000.0</v>
      </c>
      <c r="D4" s="4">
        <v>650000.0</v>
      </c>
    </row>
    <row r="5">
      <c r="A5" s="3" t="s">
        <v>7</v>
      </c>
      <c r="B5" s="4">
        <v>7.8</v>
      </c>
      <c r="C5" s="4">
        <v>280000.0</v>
      </c>
      <c r="D5" s="4">
        <v>80000.0</v>
      </c>
    </row>
    <row r="6">
      <c r="A6" s="3" t="s">
        <v>8</v>
      </c>
      <c r="B6" s="4">
        <v>1.2</v>
      </c>
      <c r="C6" s="4">
        <v>320000.0</v>
      </c>
      <c r="D6" s="4">
        <v>400000.0</v>
      </c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0.13"/>
    <col customWidth="1" min="3" max="3" width="14.75"/>
    <col customWidth="1" min="4" max="4" width="21.5"/>
    <col customWidth="1" min="5" max="5" width="19.25"/>
    <col customWidth="1" min="6" max="6" width="16.38"/>
  </cols>
  <sheetData>
    <row r="1" ht="35.25" customHeight="1">
      <c r="A1" s="5" t="s">
        <v>9</v>
      </c>
      <c r="B1" s="6"/>
      <c r="C1" s="6"/>
      <c r="D1" s="6"/>
      <c r="E1" s="6"/>
      <c r="F1" s="7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0.25" customHeight="1">
      <c r="A2" s="2" t="s">
        <v>10</v>
      </c>
      <c r="B2" s="2" t="s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15</v>
      </c>
      <c r="B3" s="4" t="s">
        <v>7</v>
      </c>
      <c r="C3" s="4">
        <v>9.0</v>
      </c>
      <c r="D3" s="11">
        <v>1100000.0</v>
      </c>
      <c r="E3" s="11">
        <v>1200000.0</v>
      </c>
      <c r="F3" s="4">
        <v>9.0</v>
      </c>
    </row>
    <row r="4">
      <c r="A4" s="10" t="s">
        <v>16</v>
      </c>
      <c r="B4" s="4" t="s">
        <v>5</v>
      </c>
      <c r="C4" s="4">
        <v>4.0</v>
      </c>
      <c r="D4" s="12">
        <v>650000.0</v>
      </c>
      <c r="E4" s="12">
        <v>800000.0</v>
      </c>
      <c r="F4" s="4">
        <v>4.0</v>
      </c>
    </row>
    <row r="5">
      <c r="A5" s="10" t="s">
        <v>17</v>
      </c>
      <c r="B5" s="4" t="s">
        <v>8</v>
      </c>
      <c r="C5" s="4">
        <v>2.0</v>
      </c>
      <c r="D5" s="12">
        <v>300000.0</v>
      </c>
      <c r="E5" s="12">
        <v>500000.0</v>
      </c>
      <c r="F5" s="4">
        <v>4.0</v>
      </c>
    </row>
    <row r="6">
      <c r="A6" s="10" t="s">
        <v>18</v>
      </c>
      <c r="B6" s="4" t="s">
        <v>5</v>
      </c>
      <c r="C6" s="4">
        <v>5.0</v>
      </c>
      <c r="D6" s="12">
        <v>700000.0</v>
      </c>
      <c r="E6" s="12">
        <v>600000.0</v>
      </c>
      <c r="F6" s="4">
        <v>4.0</v>
      </c>
    </row>
    <row r="7">
      <c r="A7" s="10" t="s">
        <v>19</v>
      </c>
      <c r="B7" s="4" t="s">
        <v>6</v>
      </c>
      <c r="C7" s="13">
        <v>6.0</v>
      </c>
      <c r="D7" s="12">
        <v>800000.0</v>
      </c>
      <c r="E7" s="12">
        <v>500000.0</v>
      </c>
      <c r="F7" s="4">
        <v>5.0</v>
      </c>
    </row>
    <row r="8">
      <c r="A8" s="10" t="s">
        <v>20</v>
      </c>
      <c r="B8" s="4" t="s">
        <v>5</v>
      </c>
      <c r="C8" s="4">
        <v>4.0</v>
      </c>
      <c r="D8" s="12">
        <v>600000.0</v>
      </c>
      <c r="E8" s="12">
        <v>200000.0</v>
      </c>
      <c r="F8" s="4">
        <v>4.0</v>
      </c>
    </row>
    <row r="9">
      <c r="A9" s="10" t="s">
        <v>21</v>
      </c>
      <c r="B9" s="4" t="s">
        <v>6</v>
      </c>
      <c r="C9" s="4">
        <v>8.0</v>
      </c>
      <c r="D9" s="12">
        <v>1200000.0</v>
      </c>
      <c r="E9" s="12">
        <v>1000000.0</v>
      </c>
      <c r="F9" s="4">
        <v>4.0</v>
      </c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9.63"/>
    <col customWidth="1" min="3" max="3" width="18.13"/>
    <col customWidth="1" min="4" max="4" width="22.38"/>
    <col customWidth="1" min="5" max="5" width="12.0"/>
    <col customWidth="1" min="6" max="6" width="13.88"/>
  </cols>
  <sheetData>
    <row r="1" ht="32.25" customHeight="1">
      <c r="A1" s="1" t="s">
        <v>22</v>
      </c>
    </row>
    <row r="2" ht="20.25" customHeight="1">
      <c r="A2" s="2" t="s">
        <v>10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</row>
    <row r="3">
      <c r="A3" s="14" t="str">
        <f>'Farmer Data'!A3</f>
        <v>Samuel Mwangi</v>
      </c>
      <c r="B3" s="15">
        <f>IFERROR('Farmer Data'!D3/(VLOOKUP('Farmer Data'!B3,'Crop Reference Table'!A:C,3,0)*'Farmer Data'!C3),0)</f>
        <v>0.4365079365</v>
      </c>
      <c r="C3" s="16">
        <f>IFERROR('Farmer Data'!C3*VLOOKUP('Farmer Data'!B3,'Crop Reference Table'!A:B,2,0)*MIN(B3,1),0)</f>
        <v>30.64285714</v>
      </c>
      <c r="D3" s="11">
        <f>IFERROR(C3*VLOOKUP('Farmer Data'!B3,'Crop Reference Table'!A:D,4,0),0)</f>
        <v>2451428.571</v>
      </c>
      <c r="E3" s="16">
        <f>IFERROR('Farmer Data'!E3/D3,0)</f>
        <v>0.4895104895</v>
      </c>
      <c r="F3" s="17" t="str">
        <f t="shared" ref="F3:F9" si="1">IFERROR(IF(E3&lt;0.5,"✅ Approve",IF(E3&lt;=0.75,"🟡 Conditional","❌ Reject")),"N/A")</f>
        <v>✅ Approve</v>
      </c>
    </row>
    <row r="4">
      <c r="A4" s="14" t="str">
        <f>'Farmer Data'!A4</f>
        <v>Ahmed Ali</v>
      </c>
      <c r="B4" s="15">
        <f>IFERROR('Farmer Data'!D4/(VLOOKUP('Farmer Data'!B4,'Crop Reference Table'!A:C,3,0)*'Farmer Data'!C4),0)</f>
        <v>0.2896613191</v>
      </c>
      <c r="C4" s="16">
        <f>IFERROR('Farmer Data'!C4*VLOOKUP('Farmer Data'!B4,'Crop Reference Table'!A:B,2,0)*MIN(B4,1),0)</f>
        <v>2.896613191</v>
      </c>
      <c r="D4" s="11">
        <f>IFERROR(C4*VLOOKUP('Farmer Data'!B4,'Crop Reference Table'!A:D,4,0),0)</f>
        <v>347593.5829</v>
      </c>
      <c r="E4" s="16">
        <f>IFERROR('Farmer Data'!E4/D4,0)</f>
        <v>2.301538462</v>
      </c>
      <c r="F4" s="17" t="str">
        <f t="shared" si="1"/>
        <v>❌ Reject</v>
      </c>
    </row>
    <row r="5">
      <c r="A5" s="14" t="str">
        <f>'Farmer Data'!A5</f>
        <v>Beatrice Kimani</v>
      </c>
      <c r="B5" s="15">
        <f>IFERROR('Farmer Data'!D5/(VLOOKUP('Farmer Data'!B5,'Crop Reference Table'!A:C,3,0)*'Farmer Data'!C5),0)</f>
        <v>0.46875</v>
      </c>
      <c r="C5" s="16">
        <f>IFERROR('Farmer Data'!C5*VLOOKUP('Farmer Data'!B5,'Crop Reference Table'!A:B,2,0)*MIN(B5,1),0)</f>
        <v>1.125</v>
      </c>
      <c r="D5" s="11">
        <f>IFERROR(C5*VLOOKUP('Farmer Data'!B5,'Crop Reference Table'!A:D,4,0),0)</f>
        <v>450000</v>
      </c>
      <c r="E5" s="16">
        <f>IFERROR('Farmer Data'!E5/D5,0)</f>
        <v>1.111111111</v>
      </c>
      <c r="F5" s="17" t="str">
        <f t="shared" si="1"/>
        <v>❌ Reject</v>
      </c>
    </row>
    <row r="6">
      <c r="A6" s="14" t="str">
        <f>'Farmer Data'!A6</f>
        <v>David Mwangi</v>
      </c>
      <c r="B6" s="15">
        <f>IFERROR('Farmer Data'!D6/(VLOOKUP('Farmer Data'!B6,'Crop Reference Table'!A:C,3,0)*'Farmer Data'!C6),0)</f>
        <v>0.2495543672</v>
      </c>
      <c r="C6" s="16">
        <f>IFERROR('Farmer Data'!C6*VLOOKUP('Farmer Data'!B6,'Crop Reference Table'!A:B,2,0)*MIN(B6,1),0)</f>
        <v>3.11942959</v>
      </c>
      <c r="D6" s="11">
        <f>IFERROR(C6*VLOOKUP('Farmer Data'!B6,'Crop Reference Table'!A:D,4,0),0)</f>
        <v>374331.5508</v>
      </c>
      <c r="E6" s="16">
        <f>IFERROR('Farmer Data'!E6/D6,0)</f>
        <v>1.602857143</v>
      </c>
      <c r="F6" s="17" t="str">
        <f t="shared" si="1"/>
        <v>❌ Reject</v>
      </c>
    </row>
    <row r="7">
      <c r="A7" s="14" t="str">
        <f>'Farmer Data'!A7</f>
        <v>Sarah Otieno</v>
      </c>
      <c r="B7" s="15">
        <f>IFERROR('Farmer Data'!D7/(VLOOKUP('Farmer Data'!B7,'Crop Reference Table'!A:C,3,0)*'Farmer Data'!C7),0)</f>
        <v>0.2287021155</v>
      </c>
      <c r="C7" s="16">
        <f>IFERROR('Farmer Data'!C7*VLOOKUP('Farmer Data'!B7,'Crop Reference Table'!A:B,2,0)*MIN(B7,1),0)</f>
        <v>2.607204117</v>
      </c>
      <c r="D7" s="11">
        <f>IFERROR(C7*VLOOKUP('Farmer Data'!B7,'Crop Reference Table'!A:D,4,0),0)</f>
        <v>1694682.676</v>
      </c>
      <c r="E7" s="16">
        <f>IFERROR('Farmer Data'!E7/D7,0)</f>
        <v>0.2950404858</v>
      </c>
      <c r="F7" s="17" t="str">
        <f t="shared" si="1"/>
        <v>✅ Approve</v>
      </c>
    </row>
    <row r="8">
      <c r="A8" s="14" t="str">
        <f>'Farmer Data'!A8</f>
        <v>Emmanuel Kibet</v>
      </c>
      <c r="B8" s="15">
        <f>IFERROR('Farmer Data'!D8/(VLOOKUP('Farmer Data'!B8,'Crop Reference Table'!A:C,3,0)*'Farmer Data'!C8),0)</f>
        <v>0.2673796791</v>
      </c>
      <c r="C8" s="16">
        <f>IFERROR('Farmer Data'!C8*VLOOKUP('Farmer Data'!B8,'Crop Reference Table'!A:B,2,0)*MIN(B8,1),0)</f>
        <v>2.673796791</v>
      </c>
      <c r="D8" s="11">
        <f>IFERROR(C8*VLOOKUP('Farmer Data'!B8,'Crop Reference Table'!A:D,4,0),0)</f>
        <v>320855.615</v>
      </c>
      <c r="E8" s="16">
        <f>IFERROR('Farmer Data'!E8/D8,0)</f>
        <v>0.6233333333</v>
      </c>
      <c r="F8" s="17" t="str">
        <f t="shared" si="1"/>
        <v>🟡 Conditional</v>
      </c>
    </row>
    <row r="9">
      <c r="A9" s="14" t="str">
        <f>'Farmer Data'!A9</f>
        <v>Linah Chemutai</v>
      </c>
      <c r="B9" s="15">
        <f>IFERROR('Farmer Data'!D9/(VLOOKUP('Farmer Data'!B9,'Crop Reference Table'!A:C,3,0)*'Farmer Data'!C9),0)</f>
        <v>0.2572898799</v>
      </c>
      <c r="C9" s="16">
        <f>IFERROR('Farmer Data'!C9*VLOOKUP('Farmer Data'!B9,'Crop Reference Table'!A:B,2,0)*MIN(B9,1),0)</f>
        <v>3.910806175</v>
      </c>
      <c r="D9" s="11">
        <f>IFERROR(C9*VLOOKUP('Farmer Data'!B9,'Crop Reference Table'!A:D,4,0),0)</f>
        <v>2542024.014</v>
      </c>
      <c r="E9" s="16">
        <f>IFERROR('Farmer Data'!E9/D9,0)</f>
        <v>0.3933873144</v>
      </c>
      <c r="F9" s="17" t="str">
        <f t="shared" si="1"/>
        <v>✅ Approve</v>
      </c>
    </row>
    <row r="10">
      <c r="A10" s="18" t="str">
        <f>'Farmer Data'!A10</f>
        <v/>
      </c>
    </row>
    <row r="11">
      <c r="A11" s="19" t="s">
        <v>28</v>
      </c>
      <c r="B11" s="20"/>
      <c r="C11" s="20"/>
      <c r="D11" s="20"/>
      <c r="E11" s="20"/>
      <c r="F11" s="21"/>
    </row>
    <row r="12">
      <c r="A12" s="22" t="s">
        <v>29</v>
      </c>
      <c r="B12" s="23" t="s">
        <v>30</v>
      </c>
      <c r="C12" s="21"/>
      <c r="D12" s="24" t="s">
        <v>31</v>
      </c>
      <c r="E12" s="20"/>
      <c r="F12" s="21"/>
    </row>
    <row r="13">
      <c r="A13" s="22" t="s">
        <v>29</v>
      </c>
      <c r="B13" s="23" t="s">
        <v>32</v>
      </c>
      <c r="C13" s="21"/>
      <c r="D13" s="25" t="s">
        <v>33</v>
      </c>
      <c r="E13" s="20"/>
      <c r="F13" s="21"/>
    </row>
    <row r="14">
      <c r="A14" s="22" t="s">
        <v>29</v>
      </c>
      <c r="B14" s="23" t="s">
        <v>34</v>
      </c>
      <c r="C14" s="21"/>
      <c r="D14" s="26" t="s">
        <v>35</v>
      </c>
      <c r="E14" s="20"/>
      <c r="F14" s="21"/>
    </row>
  </sheetData>
  <mergeCells count="8">
    <mergeCell ref="A1:F1"/>
    <mergeCell ref="A11:F11"/>
    <mergeCell ref="B12:C12"/>
    <mergeCell ref="D12:F12"/>
    <mergeCell ref="B13:C13"/>
    <mergeCell ref="D13:F13"/>
    <mergeCell ref="B14:C14"/>
    <mergeCell ref="D14:F14"/>
  </mergeCells>
  <conditionalFormatting sqref="F3:F9">
    <cfRule type="containsText" dxfId="0" priority="1" operator="containsText" text="✅ Approve">
      <formula>NOT(ISERROR(SEARCH(("✅ Approve"),(F3))))</formula>
    </cfRule>
  </conditionalFormatting>
  <conditionalFormatting sqref="F3:F9">
    <cfRule type="containsText" dxfId="1" priority="2" operator="containsText" text="❌ Reject">
      <formula>NOT(ISERROR(SEARCH(("❌ Reject"),(F3))))</formula>
    </cfRule>
  </conditionalFormatting>
  <conditionalFormatting sqref="F3:F9">
    <cfRule type="containsText" dxfId="2" priority="3" operator="containsText" text="🟡 Conditional">
      <formula>NOT(ISERROR(SEARCH(("🟡 Conditional"),(F3))))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17.0"/>
    <col customWidth="1" min="3" max="3" width="13.63"/>
    <col customWidth="1" min="4" max="4" width="17.0"/>
    <col customWidth="1" min="5" max="5" width="13.88"/>
    <col customWidth="1" min="6" max="6" width="17.0"/>
    <col customWidth="1" min="8" max="8" width="17.0"/>
  </cols>
  <sheetData>
    <row r="1" ht="47.25" customHeight="1">
      <c r="B1" s="27" t="s">
        <v>36</v>
      </c>
    </row>
    <row r="2" ht="18.0" customHeight="1">
      <c r="A2" s="28"/>
      <c r="B2" s="29" t="s">
        <v>37</v>
      </c>
      <c r="C2" s="6"/>
      <c r="D2" s="6"/>
      <c r="E2" s="6"/>
      <c r="F2" s="6"/>
      <c r="G2" s="6"/>
      <c r="H2" s="7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4" ht="46.5" customHeight="1">
      <c r="B4" s="31">
        <f>COUNTA(Calculations!A3:A9)</f>
        <v>7</v>
      </c>
      <c r="D4" s="32">
        <f>COUNTIF(Calculations!F3:F9, "*Approve*")</f>
        <v>3</v>
      </c>
      <c r="F4" s="33">
        <f>COUNTIF(Calculations!F3:F9, "*Conditional*")</f>
        <v>1</v>
      </c>
      <c r="H4" s="34">
        <f>COUNTIF(Calculations!F3:F9, "*Reject*")</f>
        <v>3</v>
      </c>
    </row>
    <row r="5">
      <c r="A5" s="17"/>
      <c r="B5" s="35" t="s">
        <v>38</v>
      </c>
      <c r="C5" s="17"/>
      <c r="D5" s="36" t="s">
        <v>39</v>
      </c>
      <c r="E5" s="17"/>
      <c r="F5" s="37" t="s">
        <v>40</v>
      </c>
      <c r="G5" s="17"/>
      <c r="H5" s="38" t="s">
        <v>41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7">
      <c r="B7" s="39" t="s">
        <v>42</v>
      </c>
      <c r="C7" s="39" t="s">
        <v>1</v>
      </c>
      <c r="D7" s="39" t="s">
        <v>11</v>
      </c>
      <c r="E7" s="39" t="s">
        <v>24</v>
      </c>
      <c r="F7" s="39" t="s">
        <v>25</v>
      </c>
      <c r="G7" s="39" t="s">
        <v>26</v>
      </c>
      <c r="H7" s="39" t="s">
        <v>43</v>
      </c>
    </row>
    <row r="8">
      <c r="B8" s="14" t="str">
        <f>'Farmer Data'!A3</f>
        <v>Samuel Mwangi</v>
      </c>
      <c r="C8" s="17" t="str">
        <f>'Farmer Data'!B3</f>
        <v>Cassava</v>
      </c>
      <c r="D8" s="17">
        <f>'Farmer Data'!C3</f>
        <v>9</v>
      </c>
      <c r="E8" s="16">
        <f>Calculations!C3</f>
        <v>30.64285714</v>
      </c>
      <c r="F8" s="11">
        <f>Calculations!D3</f>
        <v>2451428.571</v>
      </c>
      <c r="G8" s="16">
        <f>Calculations!E3</f>
        <v>0.4895104895</v>
      </c>
      <c r="H8" s="17" t="str">
        <f>Calculations!F3</f>
        <v>✅ Approve</v>
      </c>
    </row>
    <row r="9">
      <c r="B9" s="14" t="str">
        <f>'Farmer Data'!A4</f>
        <v>Ahmed Ali</v>
      </c>
      <c r="C9" s="17" t="str">
        <f>'Farmer Data'!B4</f>
        <v>Maize</v>
      </c>
      <c r="D9" s="17">
        <f>'Farmer Data'!C4</f>
        <v>4</v>
      </c>
      <c r="E9" s="16">
        <f>Calculations!C4</f>
        <v>2.896613191</v>
      </c>
      <c r="F9" s="11">
        <f>Calculations!D4</f>
        <v>347593.5829</v>
      </c>
      <c r="G9" s="16">
        <f>Calculations!E4</f>
        <v>2.301538462</v>
      </c>
      <c r="H9" s="17" t="str">
        <f>Calculations!F4</f>
        <v>❌ Reject</v>
      </c>
    </row>
    <row r="10">
      <c r="B10" s="14" t="str">
        <f>'Farmer Data'!A5</f>
        <v>Beatrice Kimani</v>
      </c>
      <c r="C10" s="17" t="str">
        <f>'Farmer Data'!B5</f>
        <v>Soyabeans</v>
      </c>
      <c r="D10" s="17">
        <f>'Farmer Data'!C5</f>
        <v>2</v>
      </c>
      <c r="E10" s="16">
        <f>Calculations!C5</f>
        <v>1.125</v>
      </c>
      <c r="F10" s="11">
        <f>Calculations!D5</f>
        <v>450000</v>
      </c>
      <c r="G10" s="16">
        <f>Calculations!E5</f>
        <v>1.111111111</v>
      </c>
      <c r="H10" s="17" t="str">
        <f>Calculations!F5</f>
        <v>❌ Reject</v>
      </c>
    </row>
    <row r="11">
      <c r="B11" s="14" t="str">
        <f>'Farmer Data'!A6</f>
        <v>David Mwangi</v>
      </c>
      <c r="C11" s="17" t="str">
        <f>'Farmer Data'!B6</f>
        <v>Maize</v>
      </c>
      <c r="D11" s="17">
        <f>'Farmer Data'!C6</f>
        <v>5</v>
      </c>
      <c r="E11" s="16">
        <f>Calculations!C6</f>
        <v>3.11942959</v>
      </c>
      <c r="F11" s="11">
        <f>Calculations!D6</f>
        <v>374331.5508</v>
      </c>
      <c r="G11" s="16">
        <f>Calculations!E6</f>
        <v>1.602857143</v>
      </c>
      <c r="H11" s="17" t="str">
        <f>Calculations!F6</f>
        <v>❌ Reject</v>
      </c>
    </row>
    <row r="12">
      <c r="B12" s="14" t="str">
        <f>'Farmer Data'!A7</f>
        <v>Sarah Otieno</v>
      </c>
      <c r="C12" s="17" t="str">
        <f>'Farmer Data'!B7</f>
        <v>Rice</v>
      </c>
      <c r="D12" s="40">
        <f>'Farmer Data'!C7</f>
        <v>6</v>
      </c>
      <c r="E12" s="16">
        <f>Calculations!C7</f>
        <v>2.607204117</v>
      </c>
      <c r="F12" s="11">
        <f>Calculations!D7</f>
        <v>1694682.676</v>
      </c>
      <c r="G12" s="16">
        <f>Calculations!E7</f>
        <v>0.2950404858</v>
      </c>
      <c r="H12" s="17" t="str">
        <f>Calculations!F7</f>
        <v>✅ Approve</v>
      </c>
    </row>
    <row r="13">
      <c r="B13" s="14" t="str">
        <f>'Farmer Data'!A8</f>
        <v>Emmanuel Kibet</v>
      </c>
      <c r="C13" s="17" t="str">
        <f>'Farmer Data'!B8</f>
        <v>Maize</v>
      </c>
      <c r="D13" s="17">
        <f>'Farmer Data'!C8</f>
        <v>4</v>
      </c>
      <c r="E13" s="16">
        <f>Calculations!C8</f>
        <v>2.673796791</v>
      </c>
      <c r="F13" s="11">
        <f>Calculations!D8</f>
        <v>320855.615</v>
      </c>
      <c r="G13" s="16">
        <f>Calculations!E8</f>
        <v>0.6233333333</v>
      </c>
      <c r="H13" s="17" t="str">
        <f>Calculations!F8</f>
        <v>🟡 Conditional</v>
      </c>
    </row>
    <row r="14">
      <c r="B14" s="14" t="str">
        <f>'Farmer Data'!A9</f>
        <v>Linah Chemutai</v>
      </c>
      <c r="C14" s="17" t="str">
        <f>'Farmer Data'!B9</f>
        <v>Rice</v>
      </c>
      <c r="D14" s="17">
        <f>'Farmer Data'!C9</f>
        <v>8</v>
      </c>
      <c r="E14" s="16">
        <f>Calculations!C9</f>
        <v>3.910806175</v>
      </c>
      <c r="F14" s="11">
        <f>Calculations!D9</f>
        <v>2542024.014</v>
      </c>
      <c r="G14" s="16">
        <f>Calculations!E9</f>
        <v>0.3933873144</v>
      </c>
      <c r="H14" s="17" t="str">
        <f>Calculations!F9</f>
        <v>✅ Approve</v>
      </c>
    </row>
  </sheetData>
  <mergeCells count="2">
    <mergeCell ref="B1:H1"/>
    <mergeCell ref="B2:H2"/>
  </mergeCells>
  <drawing r:id="rId1"/>
</worksheet>
</file>