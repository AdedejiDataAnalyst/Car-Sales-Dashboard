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HpUser\Downloads\"/>
    </mc:Choice>
  </mc:AlternateContent>
  <xr:revisionPtr revIDLastSave="0" documentId="13_ncr:1_{1656501C-1D27-4DB0-9406-4DC81E7A928F}" xr6:coauthVersionLast="40" xr6:coauthVersionMax="40" xr10:uidLastSave="{00000000-0000-0000-0000-000000000000}"/>
  <bookViews>
    <workbookView xWindow="0" yWindow="0" windowWidth="21268" windowHeight="8673" tabRatio="500" activeTab="1" xr2:uid="{00000000-000D-0000-FFFF-FFFF00000000}"/>
  </bookViews>
  <sheets>
    <sheet name="Crop Reference Table" sheetId="1" r:id="rId1"/>
    <sheet name="Farmer Data" sheetId="2" r:id="rId2"/>
    <sheet name="Calculations" sheetId="3" r:id="rId3"/>
    <sheet name="Dashboard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4" l="1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B19" i="3"/>
  <c r="C19" i="3" s="1"/>
  <c r="A19" i="3"/>
  <c r="A24" i="4" s="1"/>
  <c r="B18" i="3"/>
  <c r="C18" i="3" s="1"/>
  <c r="A18" i="3"/>
  <c r="A23" i="4" s="1"/>
  <c r="B17" i="3"/>
  <c r="C17" i="3" s="1"/>
  <c r="A17" i="3"/>
  <c r="A22" i="4" s="1"/>
  <c r="B16" i="3"/>
  <c r="C16" i="3" s="1"/>
  <c r="A16" i="3"/>
  <c r="A21" i="4" s="1"/>
  <c r="B15" i="3"/>
  <c r="C15" i="3" s="1"/>
  <c r="A15" i="3"/>
  <c r="A20" i="4" s="1"/>
  <c r="B14" i="3"/>
  <c r="C14" i="3" s="1"/>
  <c r="A14" i="3"/>
  <c r="A19" i="4" s="1"/>
  <c r="B13" i="3"/>
  <c r="C13" i="3" s="1"/>
  <c r="A13" i="3"/>
  <c r="A18" i="4" s="1"/>
  <c r="B12" i="3"/>
  <c r="C12" i="3" s="1"/>
  <c r="A12" i="3"/>
  <c r="A17" i="4" s="1"/>
  <c r="B11" i="3"/>
  <c r="C11" i="3" s="1"/>
  <c r="A11" i="3"/>
  <c r="A16" i="4" s="1"/>
  <c r="B10" i="3"/>
  <c r="C10" i="3" s="1"/>
  <c r="A10" i="3"/>
  <c r="A15" i="4" s="1"/>
  <c r="B9" i="3"/>
  <c r="C9" i="3" s="1"/>
  <c r="A9" i="3"/>
  <c r="A14" i="4" s="1"/>
  <c r="B8" i="3"/>
  <c r="C8" i="3" s="1"/>
  <c r="A8" i="3"/>
  <c r="A13" i="4" s="1"/>
  <c r="B7" i="3"/>
  <c r="C7" i="3" s="1"/>
  <c r="A7" i="3"/>
  <c r="A12" i="4" s="1"/>
  <c r="B6" i="3"/>
  <c r="C6" i="3" s="1"/>
  <c r="A6" i="3"/>
  <c r="A11" i="4" s="1"/>
  <c r="B5" i="3"/>
  <c r="C5" i="3" s="1"/>
  <c r="A5" i="3"/>
  <c r="A10" i="4" s="1"/>
  <c r="D6" i="3" l="1"/>
  <c r="D11" i="4"/>
  <c r="D24" i="4"/>
  <c r="D19" i="3"/>
  <c r="D19" i="4"/>
  <c r="D14" i="3"/>
  <c r="D21" i="4"/>
  <c r="D16" i="3"/>
  <c r="D17" i="4"/>
  <c r="D12" i="3"/>
  <c r="D5" i="3"/>
  <c r="D10" i="4"/>
  <c r="D7" i="3"/>
  <c r="D12" i="4"/>
  <c r="D22" i="4"/>
  <c r="D17" i="3"/>
  <c r="D16" i="4"/>
  <c r="D11" i="3"/>
  <c r="D13" i="3"/>
  <c r="D18" i="4"/>
  <c r="D15" i="3"/>
  <c r="D20" i="4"/>
  <c r="D13" i="4"/>
  <c r="D8" i="3"/>
  <c r="D14" i="4"/>
  <c r="D9" i="3"/>
  <c r="D15" i="4"/>
  <c r="D10" i="3"/>
  <c r="D18" i="3"/>
  <c r="D23" i="4"/>
  <c r="B5" i="4"/>
  <c r="E18" i="3" l="1"/>
  <c r="E23" i="4"/>
  <c r="E15" i="4"/>
  <c r="E10" i="3"/>
  <c r="E21" i="4"/>
  <c r="E16" i="3"/>
  <c r="E17" i="4"/>
  <c r="E12" i="3"/>
  <c r="E19" i="4"/>
  <c r="E14" i="3"/>
  <c r="E15" i="3"/>
  <c r="E20" i="4"/>
  <c r="E24" i="4"/>
  <c r="E19" i="3"/>
  <c r="E13" i="3"/>
  <c r="E18" i="4"/>
  <c r="E22" i="4"/>
  <c r="E17" i="3"/>
  <c r="E5" i="3"/>
  <c r="E10" i="4"/>
  <c r="E16" i="4"/>
  <c r="E11" i="3"/>
  <c r="E12" i="4"/>
  <c r="E7" i="3"/>
  <c r="E14" i="4"/>
  <c r="E9" i="3"/>
  <c r="E8" i="3"/>
  <c r="E13" i="4"/>
  <c r="E6" i="3"/>
  <c r="E11" i="4"/>
  <c r="F13" i="4" l="1"/>
  <c r="F8" i="3"/>
  <c r="G13" i="4" s="1"/>
  <c r="F14" i="4"/>
  <c r="F9" i="3"/>
  <c r="G14" i="4" s="1"/>
  <c r="F19" i="4"/>
  <c r="F14" i="3"/>
  <c r="G19" i="4" s="1"/>
  <c r="F7" i="3"/>
  <c r="G12" i="4" s="1"/>
  <c r="F12" i="4"/>
  <c r="F17" i="4"/>
  <c r="F12" i="3"/>
  <c r="G17" i="4" s="1"/>
  <c r="F21" i="4"/>
  <c r="F16" i="3"/>
  <c r="G21" i="4" s="1"/>
  <c r="F15" i="4"/>
  <c r="F10" i="3"/>
  <c r="G15" i="4" s="1"/>
  <c r="F24" i="4"/>
  <c r="F19" i="3"/>
  <c r="G24" i="4" s="1"/>
  <c r="F17" i="3"/>
  <c r="G22" i="4" s="1"/>
  <c r="F22" i="4"/>
  <c r="F13" i="3"/>
  <c r="G18" i="4" s="1"/>
  <c r="F18" i="4"/>
  <c r="F6" i="3"/>
  <c r="G11" i="4" s="1"/>
  <c r="F11" i="4"/>
  <c r="F15" i="3"/>
  <c r="G20" i="4" s="1"/>
  <c r="F20" i="4"/>
  <c r="F16" i="4"/>
  <c r="F11" i="3"/>
  <c r="G16" i="4" s="1"/>
  <c r="F5" i="3"/>
  <c r="F10" i="4"/>
  <c r="F18" i="3"/>
  <c r="G23" i="4" s="1"/>
  <c r="F23" i="4"/>
  <c r="G10" i="4" l="1"/>
  <c r="H5" i="4"/>
  <c r="F5" i="4"/>
  <c r="D5" i="4"/>
</calcChain>
</file>

<file path=xl/sharedStrings.xml><?xml version="1.0" encoding="utf-8"?>
<sst xmlns="http://schemas.openxmlformats.org/spreadsheetml/2006/main" count="88" uniqueCount="63">
  <si>
    <t>AGRISURE — Crop Reference Table</t>
  </si>
  <si>
    <t>Source: NAERLS 2024 Report | FAO Nigeria | FMARD Estimates</t>
  </si>
  <si>
    <t>Crop</t>
  </si>
  <si>
    <t>Base Yield (t/ha)</t>
  </si>
  <si>
    <t>Input Cost (₦/ha)</t>
  </si>
  <si>
    <t>Market Price (₦/tonne)</t>
  </si>
  <si>
    <t>Source</t>
  </si>
  <si>
    <t>Maize</t>
  </si>
  <si>
    <t>NAERLS 2024 Report</t>
  </si>
  <si>
    <t>Rice</t>
  </si>
  <si>
    <t>Cassava</t>
  </si>
  <si>
    <t>FAO / FAOSTAT Nigeria</t>
  </si>
  <si>
    <t>Soybeans</t>
  </si>
  <si>
    <t>FAO / FMARD Estimates</t>
  </si>
  <si>
    <t>📘 Blue numbers = inputs you can update. These figures are real Nigerian averages.</t>
  </si>
  <si>
    <t>AGRISURE — Farmer Sample Dataset (Input Data)</t>
  </si>
  <si>
    <t>Enter farmer details below — blue cells are inputs you fill in</t>
  </si>
  <si>
    <t>Farmer Name</t>
  </si>
  <si>
    <t>Farm Size (ha)</t>
  </si>
  <si>
    <t>Actual Input Spend (₦)</t>
  </si>
  <si>
    <t>Loan Requested (₦)</t>
  </si>
  <si>
    <t>Season (months)</t>
  </si>
  <si>
    <t>Samuel Okonjo</t>
  </si>
  <si>
    <t>David Mwangi</t>
  </si>
  <si>
    <t>Sarah Otieno</t>
  </si>
  <si>
    <t>Emmanuel Kibet</t>
  </si>
  <si>
    <t>Linah Chemutai</t>
  </si>
  <si>
    <t>Ahmed Ali</t>
  </si>
  <si>
    <t>Beatrice Kimani</t>
  </si>
  <si>
    <t>Samuel Mwangi</t>
  </si>
  <si>
    <t>James Wilson</t>
  </si>
  <si>
    <t>Jane Doe</t>
  </si>
  <si>
    <t>Amara Diallo</t>
  </si>
  <si>
    <t>Kofi Mensah</t>
  </si>
  <si>
    <t>Fatima Usman</t>
  </si>
  <si>
    <t>Ngozi Eze</t>
  </si>
  <si>
    <t>Chidi Okafor</t>
  </si>
  <si>
    <t>📘 Blue = inputs you fill. Crop must exactly match: Maize | Rice | Cassava | Soybeans</t>
  </si>
  <si>
    <t>Formulas pull data from 'Farmer Data' and 'Crop Reference Table' sheets automatically</t>
  </si>
  <si>
    <t>🟢 Green = linked from other sheets   |   ⚫ Black = calculated formula</t>
  </si>
  <si>
    <t>Input Efficiency</t>
  </si>
  <si>
    <t>Predicted Yield (t)</t>
  </si>
  <si>
    <t>Projected Revenue (₦)</t>
  </si>
  <si>
    <t>Risk Score</t>
  </si>
  <si>
    <t>Loan Decision</t>
  </si>
  <si>
    <t>RISK THRESHOLD KEY</t>
  </si>
  <si>
    <t>Threshold:</t>
  </si>
  <si>
    <t>Risk Score &lt; 0.50</t>
  </si>
  <si>
    <t>✅ Approve</t>
  </si>
  <si>
    <t>Risk Score 0.50 – 0.75</t>
  </si>
  <si>
    <t>🟡 Conditional Approval</t>
  </si>
  <si>
    <t>Risk Score &gt; 0.75</t>
  </si>
  <si>
    <t>❌ Reject</t>
  </si>
  <si>
    <t>AGRISURE — Results Dashboard</t>
  </si>
  <si>
    <t>Summary of yield predictions and loan decisions across all 15 farmers</t>
  </si>
  <si>
    <t>Total Farmers</t>
  </si>
  <si>
    <t>✅ Approved</t>
  </si>
  <si>
    <t>🟡 Conditional</t>
  </si>
  <si>
    <t>❌ Rejected</t>
  </si>
  <si>
    <t>Farmer</t>
  </si>
  <si>
    <t>Decision</t>
  </si>
  <si>
    <t>📊 Tip: Select columns D &amp; E then Insert → Chart to create a visual yield vs revenue chart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</si>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</sst>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sz val="9"/>
      <color rgb="FF595959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9C0006"/>
      <name val="Arial"/>
      <charset val="1"/>
    </font>
    <font>
      <b/>
      <sz val="10"/>
      <color rgb="FF9C6500"/>
      <name val="Arial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26"/>
      <color rgb="FFFFFFFF"/>
      <name val="Arial"/>
      <charset val="1"/>
    </font>
    <font>
      <b/>
      <sz val="26"/>
      <color rgb="FF276221"/>
      <name val="Arial"/>
      <charset val="1"/>
    </font>
    <font>
      <b/>
      <sz val="26"/>
      <color rgb="FF9C6500"/>
      <name val="Arial"/>
      <charset val="1"/>
    </font>
    <font>
      <b/>
      <sz val="26"/>
      <color rgb="FF9C000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4D1C"/>
        <bgColor rgb="FF276221"/>
      </patternFill>
    </fill>
    <fill>
      <patternFill patternType="solid">
        <fgColor rgb="FF4A8C2A"/>
        <bgColor rgb="FF27622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4F1E8"/>
      </patternFill>
    </fill>
    <fill>
      <patternFill patternType="solid">
        <fgColor rgb="FFF4F1E8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  <fill>
      <patternFill patternType="solid">
        <fgColor rgb="FFFFEB9C"/>
        <bgColor rgb="FFF4F1E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4" fillId="3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2" fontId="9" fillId="5" borderId="1" xfId="0" applyNumberFormat="1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2" fontId="9" fillId="4" borderId="1" xfId="0" applyNumberFormat="1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16" fillId="7" borderId="1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F4F1E8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A8C2A"/>
      <rgbColor rgb="FF003300"/>
      <rgbColor rgb="FF276221"/>
      <rgbColor rgb="FF993300"/>
      <rgbColor rgb="FF993366"/>
      <rgbColor rgb="FF333399"/>
      <rgbColor rgb="FF1B4D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9921875" defaultRowHeight="14.4" x14ac:dyDescent="0.3"/>
  <cols>
    <col min="1" max="1" width="14" style="11" customWidth="1"/>
    <col min="2" max="2" width="18" style="11" customWidth="1"/>
    <col min="3" max="3" width="20" style="11" customWidth="1"/>
    <col min="4" max="4" width="22" style="11" customWidth="1"/>
    <col min="5" max="5" width="28" style="11" customWidth="1"/>
  </cols>
  <sheetData>
    <row r="1" spans="1:5" ht="39.75" customHeight="1" x14ac:dyDescent="0.3">
      <c r="A1" s="10" t="s">
        <v>0</v>
      </c>
      <c r="B1" s="10"/>
      <c r="C1" s="10"/>
      <c r="D1" s="10"/>
      <c r="E1" s="10"/>
    </row>
    <row r="2" spans="1:5" ht="14.95" customHeight="1" x14ac:dyDescent="0.3">
      <c r="A2" s="9" t="s">
        <v>1</v>
      </c>
      <c r="B2" s="9"/>
      <c r="C2" s="9"/>
      <c r="D2" s="9"/>
      <c r="E2" s="9"/>
    </row>
    <row r="3" spans="1:5" ht="30.05" customHeight="1" x14ac:dyDescent="0.3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</row>
    <row r="4" spans="1:5" ht="14.95" customHeight="1" x14ac:dyDescent="0.3">
      <c r="A4" s="13" t="s">
        <v>7</v>
      </c>
      <c r="B4" s="14">
        <v>2.5</v>
      </c>
      <c r="C4" s="15">
        <v>561000</v>
      </c>
      <c r="D4" s="15">
        <v>120000</v>
      </c>
      <c r="E4" s="16" t="s">
        <v>8</v>
      </c>
    </row>
    <row r="5" spans="1:5" ht="14.95" customHeight="1" x14ac:dyDescent="0.3">
      <c r="A5" s="17" t="s">
        <v>9</v>
      </c>
      <c r="B5" s="18">
        <v>1.9</v>
      </c>
      <c r="C5" s="19">
        <v>583000</v>
      </c>
      <c r="D5" s="19">
        <v>650000</v>
      </c>
      <c r="E5" s="20" t="s">
        <v>8</v>
      </c>
    </row>
    <row r="6" spans="1:5" ht="14.95" customHeight="1" x14ac:dyDescent="0.3">
      <c r="A6" s="13" t="s">
        <v>10</v>
      </c>
      <c r="B6" s="14">
        <v>7.8</v>
      </c>
      <c r="C6" s="15">
        <v>280000</v>
      </c>
      <c r="D6" s="15">
        <v>80000</v>
      </c>
      <c r="E6" s="16" t="s">
        <v>11</v>
      </c>
    </row>
    <row r="7" spans="1:5" ht="14.95" customHeight="1" x14ac:dyDescent="0.3">
      <c r="A7" s="17" t="s">
        <v>12</v>
      </c>
      <c r="B7" s="18">
        <v>1.2</v>
      </c>
      <c r="C7" s="19">
        <v>320000</v>
      </c>
      <c r="D7" s="19">
        <v>400000</v>
      </c>
      <c r="E7" s="20" t="s">
        <v>13</v>
      </c>
    </row>
    <row r="9" spans="1:5" ht="14.95" customHeight="1" x14ac:dyDescent="0.3">
      <c r="A9" s="8" t="s">
        <v>14</v>
      </c>
      <c r="B9" s="8"/>
      <c r="C9" s="8"/>
      <c r="D9" s="8"/>
      <c r="E9" s="8"/>
    </row>
  </sheetData>
  <mergeCells count="3">
    <mergeCell ref="A1:E1"/>
    <mergeCell ref="A2:E2"/>
    <mergeCell ref="A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abSelected="1" zoomScaleNormal="100" workbookViewId="0">
      <pane ySplit="2" topLeftCell="A3" activePane="bottomLeft" state="frozen"/>
      <selection pane="bottomLeft" activeCell="B21" sqref="B21"/>
    </sheetView>
  </sheetViews>
  <sheetFormatPr defaultColWidth="8.69921875" defaultRowHeight="14.4" x14ac:dyDescent="0.3"/>
  <cols>
    <col min="1" max="1" width="20" style="11" customWidth="1"/>
    <col min="2" max="2" width="13" style="11" customWidth="1"/>
    <col min="3" max="3" width="16" style="11" customWidth="1"/>
    <col min="4" max="4" width="24" style="11" customWidth="1"/>
    <col min="5" max="5" width="22" style="11" customWidth="1"/>
    <col min="6" max="6" width="18" style="11" customWidth="1"/>
  </cols>
  <sheetData>
    <row r="1" spans="1:6" ht="39.75" customHeight="1" x14ac:dyDescent="0.3">
      <c r="A1" s="10" t="s">
        <v>15</v>
      </c>
      <c r="B1" s="10"/>
      <c r="C1" s="10"/>
      <c r="D1" s="10"/>
      <c r="E1" s="10"/>
      <c r="F1" s="10"/>
    </row>
    <row r="2" spans="1:6" ht="14.95" customHeight="1" x14ac:dyDescent="0.3">
      <c r="A2" s="9" t="s">
        <v>16</v>
      </c>
      <c r="B2" s="9"/>
      <c r="C2" s="9"/>
      <c r="D2" s="9"/>
      <c r="E2" s="9"/>
      <c r="F2" s="9"/>
    </row>
    <row r="3" spans="1:6" ht="30.05" customHeight="1" x14ac:dyDescent="0.3">
      <c r="A3" s="12" t="s">
        <v>17</v>
      </c>
      <c r="B3" s="12" t="s">
        <v>2</v>
      </c>
      <c r="C3" s="12" t="s">
        <v>18</v>
      </c>
      <c r="D3" s="12" t="s">
        <v>19</v>
      </c>
      <c r="E3" s="12" t="s">
        <v>20</v>
      </c>
      <c r="F3" s="12" t="s">
        <v>21</v>
      </c>
    </row>
    <row r="4" spans="1:6" ht="14.95" customHeight="1" x14ac:dyDescent="0.3">
      <c r="A4" s="13" t="s">
        <v>22</v>
      </c>
      <c r="B4" s="21" t="s">
        <v>7</v>
      </c>
      <c r="C4" s="14">
        <v>3</v>
      </c>
      <c r="D4" s="15">
        <v>400000</v>
      </c>
      <c r="E4" s="15">
        <v>500000</v>
      </c>
      <c r="F4" s="21">
        <v>4</v>
      </c>
    </row>
    <row r="5" spans="1:6" ht="14.95" customHeight="1" x14ac:dyDescent="0.3">
      <c r="A5" s="17" t="s">
        <v>23</v>
      </c>
      <c r="B5" s="22" t="s">
        <v>7</v>
      </c>
      <c r="C5" s="18">
        <v>5</v>
      </c>
      <c r="D5" s="19">
        <v>700000</v>
      </c>
      <c r="E5" s="19">
        <v>900000</v>
      </c>
      <c r="F5" s="22">
        <v>4</v>
      </c>
    </row>
    <row r="6" spans="1:6" ht="14.95" customHeight="1" x14ac:dyDescent="0.3">
      <c r="A6" s="13" t="s">
        <v>24</v>
      </c>
      <c r="B6" s="21" t="s">
        <v>9</v>
      </c>
      <c r="C6" s="14">
        <v>2</v>
      </c>
      <c r="D6" s="15">
        <v>200000</v>
      </c>
      <c r="E6" s="15">
        <v>300000</v>
      </c>
      <c r="F6" s="21">
        <v>5</v>
      </c>
    </row>
    <row r="7" spans="1:6" ht="14.95" customHeight="1" x14ac:dyDescent="0.3">
      <c r="A7" s="17" t="s">
        <v>25</v>
      </c>
      <c r="B7" s="22" t="s">
        <v>10</v>
      </c>
      <c r="C7" s="18">
        <v>4</v>
      </c>
      <c r="D7" s="19">
        <v>350000</v>
      </c>
      <c r="E7" s="19">
        <v>600000</v>
      </c>
      <c r="F7" s="22">
        <v>9</v>
      </c>
    </row>
    <row r="8" spans="1:6" ht="14.95" customHeight="1" x14ac:dyDescent="0.3">
      <c r="A8" s="13" t="s">
        <v>26</v>
      </c>
      <c r="B8" s="21" t="s">
        <v>12</v>
      </c>
      <c r="C8" s="14">
        <v>1</v>
      </c>
      <c r="D8" s="15">
        <v>150000</v>
      </c>
      <c r="E8" s="15">
        <v>200000</v>
      </c>
      <c r="F8" s="21">
        <v>4</v>
      </c>
    </row>
    <row r="9" spans="1:6" ht="14.95" customHeight="1" x14ac:dyDescent="0.3">
      <c r="A9" s="17" t="s">
        <v>27</v>
      </c>
      <c r="B9" s="22" t="s">
        <v>7</v>
      </c>
      <c r="C9" s="18">
        <v>8</v>
      </c>
      <c r="D9" s="19">
        <v>1200000</v>
      </c>
      <c r="E9" s="19">
        <v>1500000</v>
      </c>
      <c r="F9" s="22">
        <v>4</v>
      </c>
    </row>
    <row r="10" spans="1:6" ht="14.95" customHeight="1" x14ac:dyDescent="0.3">
      <c r="A10" s="13" t="s">
        <v>28</v>
      </c>
      <c r="B10" s="21" t="s">
        <v>9</v>
      </c>
      <c r="C10" s="14">
        <v>6</v>
      </c>
      <c r="D10" s="15">
        <v>900000</v>
      </c>
      <c r="E10" s="15">
        <v>700000</v>
      </c>
      <c r="F10" s="21">
        <v>5</v>
      </c>
    </row>
    <row r="11" spans="1:6" ht="14.95" customHeight="1" x14ac:dyDescent="0.3">
      <c r="A11" s="17" t="s">
        <v>29</v>
      </c>
      <c r="B11" s="22" t="s">
        <v>10</v>
      </c>
      <c r="C11" s="18">
        <v>2</v>
      </c>
      <c r="D11" s="19">
        <v>200000</v>
      </c>
      <c r="E11" s="19">
        <v>400000</v>
      </c>
      <c r="F11" s="22">
        <v>9</v>
      </c>
    </row>
    <row r="12" spans="1:6" ht="14.95" customHeight="1" x14ac:dyDescent="0.3">
      <c r="A12" s="13" t="s">
        <v>30</v>
      </c>
      <c r="B12" s="21" t="s">
        <v>12</v>
      </c>
      <c r="C12" s="14">
        <v>10</v>
      </c>
      <c r="D12" s="15">
        <v>1200000</v>
      </c>
      <c r="E12" s="15">
        <v>2000000</v>
      </c>
      <c r="F12" s="21">
        <v>4</v>
      </c>
    </row>
    <row r="13" spans="1:6" ht="14.95" customHeight="1" x14ac:dyDescent="0.3">
      <c r="A13" s="17" t="s">
        <v>31</v>
      </c>
      <c r="B13" s="22" t="s">
        <v>9</v>
      </c>
      <c r="C13" s="18">
        <v>3</v>
      </c>
      <c r="D13" s="19">
        <v>400000</v>
      </c>
      <c r="E13" s="19">
        <v>350000</v>
      </c>
      <c r="F13" s="22">
        <v>5</v>
      </c>
    </row>
    <row r="14" spans="1:6" ht="14.95" customHeight="1" x14ac:dyDescent="0.3">
      <c r="A14" s="13" t="s">
        <v>32</v>
      </c>
      <c r="B14" s="21" t="s">
        <v>10</v>
      </c>
      <c r="C14" s="14">
        <v>7</v>
      </c>
      <c r="D14" s="15">
        <v>560000</v>
      </c>
      <c r="E14" s="15">
        <v>800000</v>
      </c>
      <c r="F14" s="21">
        <v>9</v>
      </c>
    </row>
    <row r="15" spans="1:6" ht="14.95" customHeight="1" x14ac:dyDescent="0.3">
      <c r="A15" s="17" t="s">
        <v>33</v>
      </c>
      <c r="B15" s="22" t="s">
        <v>7</v>
      </c>
      <c r="C15" s="18">
        <v>2</v>
      </c>
      <c r="D15" s="19">
        <v>250000</v>
      </c>
      <c r="E15" s="19">
        <v>300000</v>
      </c>
      <c r="F15" s="22">
        <v>4</v>
      </c>
    </row>
    <row r="16" spans="1:6" ht="14.95" customHeight="1" x14ac:dyDescent="0.3">
      <c r="A16" s="13" t="s">
        <v>34</v>
      </c>
      <c r="B16" s="21" t="s">
        <v>12</v>
      </c>
      <c r="C16" s="14">
        <v>5</v>
      </c>
      <c r="D16" s="15">
        <v>600000</v>
      </c>
      <c r="E16" s="15">
        <v>900000</v>
      </c>
      <c r="F16" s="21">
        <v>4</v>
      </c>
    </row>
    <row r="17" spans="1:6" ht="14.95" customHeight="1" x14ac:dyDescent="0.3">
      <c r="A17" s="17" t="s">
        <v>35</v>
      </c>
      <c r="B17" s="22" t="s">
        <v>9</v>
      </c>
      <c r="C17" s="18">
        <v>4</v>
      </c>
      <c r="D17" s="19">
        <v>700000</v>
      </c>
      <c r="E17" s="19">
        <v>500000</v>
      </c>
      <c r="F17" s="22">
        <v>5</v>
      </c>
    </row>
    <row r="18" spans="1:6" ht="14.95" customHeight="1" x14ac:dyDescent="0.3">
      <c r="A18" s="13" t="s">
        <v>36</v>
      </c>
      <c r="B18" s="21" t="s">
        <v>10</v>
      </c>
      <c r="C18" s="14">
        <v>9</v>
      </c>
      <c r="D18" s="15">
        <v>1100000</v>
      </c>
      <c r="E18" s="15">
        <v>1200000</v>
      </c>
      <c r="F18" s="21">
        <v>9</v>
      </c>
    </row>
    <row r="20" spans="1:6" ht="14.95" customHeight="1" x14ac:dyDescent="0.3">
      <c r="A20" s="8" t="s">
        <v>37</v>
      </c>
      <c r="B20" s="8"/>
      <c r="C20" s="8"/>
      <c r="D20" s="8"/>
      <c r="E20" s="8"/>
      <c r="F20" s="8"/>
    </row>
  </sheetData>
  <mergeCells count="3">
    <mergeCell ref="A1:F1"/>
    <mergeCell ref="A2:F2"/>
    <mergeCell ref="A20:F2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zoomScaleNormal="100" workbookViewId="0">
      <pane ySplit="3" topLeftCell="A7" activePane="bottomLeft" state="frozen"/>
      <selection pane="bottomLeft" activeCell="B6" sqref="B6"/>
    </sheetView>
  </sheetViews>
  <sheetFormatPr defaultColWidth="8.69921875" defaultRowHeight="14.4" x14ac:dyDescent="0.3"/>
  <cols>
    <col min="1" max="1" width="20" style="11" customWidth="1"/>
    <col min="2" max="2" width="18" style="11" customWidth="1"/>
    <col min="3" max="3" width="22" style="11" customWidth="1"/>
    <col min="4" max="4" width="24" style="11" customWidth="1"/>
    <col min="5" max="5" width="14" style="11" customWidth="1"/>
    <col min="6" max="6" width="22" style="11" customWidth="1"/>
  </cols>
  <sheetData>
    <row r="1" spans="1:6" ht="39.75" customHeight="1" x14ac:dyDescent="0.3">
      <c r="A1" s="10" t="s">
        <v>62</v>
      </c>
      <c r="B1" s="10"/>
      <c r="C1" s="10"/>
      <c r="D1" s="10"/>
      <c r="E1" s="10"/>
      <c r="F1" s="10"/>
    </row>
    <row r="2" spans="1:6" ht="14.95" customHeight="1" x14ac:dyDescent="0.3">
      <c r="A2" s="9" t="s">
        <v>38</v>
      </c>
      <c r="B2" s="9"/>
      <c r="C2" s="9"/>
      <c r="D2" s="9"/>
      <c r="E2" s="9"/>
      <c r="F2" s="9"/>
    </row>
    <row r="3" spans="1:6" ht="14.95" customHeight="1" x14ac:dyDescent="0.3">
      <c r="A3" s="8" t="s">
        <v>39</v>
      </c>
      <c r="B3" s="8"/>
      <c r="C3" s="8"/>
      <c r="D3" s="8"/>
      <c r="E3" s="8"/>
      <c r="F3" s="8"/>
    </row>
    <row r="4" spans="1:6" ht="30.05" customHeight="1" x14ac:dyDescent="0.3">
      <c r="A4" s="12" t="s">
        <v>17</v>
      </c>
      <c r="B4" s="12" t="s">
        <v>40</v>
      </c>
      <c r="C4" s="12" t="s">
        <v>41</v>
      </c>
      <c r="D4" s="12" t="s">
        <v>42</v>
      </c>
      <c r="E4" s="12" t="s">
        <v>43</v>
      </c>
      <c r="F4" s="12" t="s">
        <v>44</v>
      </c>
    </row>
    <row r="5" spans="1:6" ht="14.95" customHeight="1" x14ac:dyDescent="0.3">
      <c r="A5" s="23" t="str">
        <f>'Farmer Data'!A4</f>
        <v>Samuel Okonjo</v>
      </c>
      <c r="B5" s="24">
        <f>IFERROR('Farmer Data'!D4/(VLOOKUP('Farmer Data'!B4,'Crop Reference Table'!A:C,3,0)*'Farmer Data'!C4),0)</f>
        <v>0.23767082590612001</v>
      </c>
      <c r="C5" s="24">
        <f>IFERROR('Farmer Data'!C4*VLOOKUP('Farmer Data'!B4,'Crop Reference Table'!A:B,2,0)*MIN(B5,1),0)</f>
        <v>1.7825311942959001</v>
      </c>
      <c r="D5" s="25">
        <f>IFERROR(C5*VLOOKUP('Farmer Data'!B4,'Crop Reference Table'!A:D,4,0),0)</f>
        <v>213903.74331550801</v>
      </c>
      <c r="E5" s="24">
        <f>IFERROR('Farmer Data'!E4/D5,0)</f>
        <v>2.3375000000000004</v>
      </c>
      <c r="F5" s="26" t="str">
        <f t="shared" ref="F5:F19" si="0">IFERROR(IF(E5&lt;0.5,"✅ Approve",IF(E5&lt;=0.75,"🟡 Conditional","❌ Reject")),"N/A")</f>
        <v>❌ Reject</v>
      </c>
    </row>
    <row r="6" spans="1:6" ht="14.95" customHeight="1" x14ac:dyDescent="0.3">
      <c r="A6" s="27" t="str">
        <f>'Farmer Data'!A5</f>
        <v>David Mwangi</v>
      </c>
      <c r="B6" s="28">
        <f>IFERROR('Farmer Data'!D5/(VLOOKUP('Farmer Data'!B5,'Crop Reference Table'!A:C,3,0)*'Farmer Data'!C5),0)</f>
        <v>0.24955436720142601</v>
      </c>
      <c r="C6" s="28">
        <f>IFERROR('Farmer Data'!C5*VLOOKUP('Farmer Data'!B5,'Crop Reference Table'!A:B,2,0)*MIN(B6,1),0)</f>
        <v>3.119429590017825</v>
      </c>
      <c r="D6" s="29">
        <f>IFERROR(C6*VLOOKUP('Farmer Data'!B5,'Crop Reference Table'!A:D,4,0),0)</f>
        <v>374331.55080213898</v>
      </c>
      <c r="E6" s="28">
        <f>IFERROR('Farmer Data'!E5/D6,0)</f>
        <v>2.4042857142857148</v>
      </c>
      <c r="F6" s="26" t="str">
        <f t="shared" si="0"/>
        <v>❌ Reject</v>
      </c>
    </row>
    <row r="7" spans="1:6" ht="14.95" customHeight="1" x14ac:dyDescent="0.3">
      <c r="A7" s="23" t="str">
        <f>'Farmer Data'!A6</f>
        <v>Sarah Otieno</v>
      </c>
      <c r="B7" s="24">
        <f>IFERROR('Farmer Data'!D6/(VLOOKUP('Farmer Data'!B6,'Crop Reference Table'!A:C,3,0)*'Farmer Data'!C6),0)</f>
        <v>0.17152658662092624</v>
      </c>
      <c r="C7" s="24">
        <f>IFERROR('Farmer Data'!C6*VLOOKUP('Farmer Data'!B6,'Crop Reference Table'!A:B,2,0)*MIN(B7,1),0)</f>
        <v>0.65180102915951965</v>
      </c>
      <c r="D7" s="25">
        <f>IFERROR(C7*VLOOKUP('Farmer Data'!B6,'Crop Reference Table'!A:D,4,0),0)</f>
        <v>423670.66895368777</v>
      </c>
      <c r="E7" s="24">
        <f>IFERROR('Farmer Data'!E6/D7,0)</f>
        <v>0.70809716599190298</v>
      </c>
      <c r="F7" s="26" t="str">
        <f t="shared" si="0"/>
        <v>🟡 Conditional</v>
      </c>
    </row>
    <row r="8" spans="1:6" ht="14.95" customHeight="1" x14ac:dyDescent="0.3">
      <c r="A8" s="27" t="str">
        <f>'Farmer Data'!A7</f>
        <v>Emmanuel Kibet</v>
      </c>
      <c r="B8" s="28">
        <f>IFERROR('Farmer Data'!D7/(VLOOKUP('Farmer Data'!B7,'Crop Reference Table'!A:C,3,0)*'Farmer Data'!C7),0)</f>
        <v>0.3125</v>
      </c>
      <c r="C8" s="28">
        <f>IFERROR('Farmer Data'!C7*VLOOKUP('Farmer Data'!B7,'Crop Reference Table'!A:B,2,0)*MIN(B8,1),0)</f>
        <v>9.75</v>
      </c>
      <c r="D8" s="29">
        <f>IFERROR(C8*VLOOKUP('Farmer Data'!B7,'Crop Reference Table'!A:D,4,0),0)</f>
        <v>780000</v>
      </c>
      <c r="E8" s="28">
        <f>IFERROR('Farmer Data'!E7/D8,0)</f>
        <v>0.76923076923076927</v>
      </c>
      <c r="F8" s="30" t="str">
        <f t="shared" si="0"/>
        <v>❌ Reject</v>
      </c>
    </row>
    <row r="9" spans="1:6" ht="14.95" customHeight="1" x14ac:dyDescent="0.3">
      <c r="A9" s="23" t="str">
        <f>'Farmer Data'!A8</f>
        <v>Linah Chemutai</v>
      </c>
      <c r="B9" s="24">
        <f>IFERROR('Farmer Data'!D8/(VLOOKUP('Farmer Data'!B8,'Crop Reference Table'!A:C,3,0)*'Farmer Data'!C8),0)</f>
        <v>0.46875</v>
      </c>
      <c r="C9" s="24">
        <f>IFERROR('Farmer Data'!C8*VLOOKUP('Farmer Data'!B8,'Crop Reference Table'!A:B,2,0)*MIN(B9,1),0)</f>
        <v>0.5625</v>
      </c>
      <c r="D9" s="25">
        <f>IFERROR(C9*VLOOKUP('Farmer Data'!B8,'Crop Reference Table'!A:D,4,0),0)</f>
        <v>225000</v>
      </c>
      <c r="E9" s="24">
        <f>IFERROR('Farmer Data'!E8/D9,0)</f>
        <v>0.88888888888888884</v>
      </c>
      <c r="F9" s="26" t="str">
        <f t="shared" si="0"/>
        <v>❌ Reject</v>
      </c>
    </row>
    <row r="10" spans="1:6" ht="14.95" customHeight="1" x14ac:dyDescent="0.3">
      <c r="A10" s="27" t="str">
        <f>'Farmer Data'!A9</f>
        <v>Ahmed Ali</v>
      </c>
      <c r="B10" s="28">
        <f>IFERROR('Farmer Data'!D9/(VLOOKUP('Farmer Data'!B9,'Crop Reference Table'!A:C,3,0)*'Farmer Data'!C9),0)</f>
        <v>0.26737967914438504</v>
      </c>
      <c r="C10" s="28">
        <f>IFERROR('Farmer Data'!C9*VLOOKUP('Farmer Data'!B9,'Crop Reference Table'!A:B,2,0)*MIN(B10,1),0)</f>
        <v>5.3475935828877006</v>
      </c>
      <c r="D10" s="29">
        <f>IFERROR(C10*VLOOKUP('Farmer Data'!B9,'Crop Reference Table'!A:D,4,0),0)</f>
        <v>641711.22994652402</v>
      </c>
      <c r="E10" s="28">
        <f>IFERROR('Farmer Data'!E9/D10,0)</f>
        <v>2.3375000000000004</v>
      </c>
      <c r="F10" s="26" t="str">
        <f t="shared" si="0"/>
        <v>❌ Reject</v>
      </c>
    </row>
    <row r="11" spans="1:6" ht="14.95" customHeight="1" x14ac:dyDescent="0.3">
      <c r="A11" s="23" t="str">
        <f>'Farmer Data'!A10</f>
        <v>Beatrice Kimani</v>
      </c>
      <c r="B11" s="24">
        <f>IFERROR('Farmer Data'!D10/(VLOOKUP('Farmer Data'!B10,'Crop Reference Table'!A:C,3,0)*'Farmer Data'!C10),0)</f>
        <v>0.25728987993138935</v>
      </c>
      <c r="C11" s="24">
        <f>IFERROR('Farmer Data'!C10*VLOOKUP('Farmer Data'!B10,'Crop Reference Table'!A:B,2,0)*MIN(B11,1),0)</f>
        <v>2.9331046312178382</v>
      </c>
      <c r="D11" s="25">
        <f>IFERROR(C11*VLOOKUP('Farmer Data'!B10,'Crop Reference Table'!A:D,4,0),0)</f>
        <v>1906518.0102915948</v>
      </c>
      <c r="E11" s="24">
        <f>IFERROR('Farmer Data'!E10/D11,0)</f>
        <v>0.36716149347728305</v>
      </c>
      <c r="F11" s="26" t="str">
        <f t="shared" si="0"/>
        <v>✅ Approve</v>
      </c>
    </row>
    <row r="12" spans="1:6" ht="14.95" customHeight="1" x14ac:dyDescent="0.3">
      <c r="A12" s="27" t="str">
        <f>'Farmer Data'!A11</f>
        <v>Samuel Mwangi</v>
      </c>
      <c r="B12" s="28">
        <f>IFERROR('Farmer Data'!D11/(VLOOKUP('Farmer Data'!B11,'Crop Reference Table'!A:C,3,0)*'Farmer Data'!C11),0)</f>
        <v>0.35714285714285715</v>
      </c>
      <c r="C12" s="28">
        <f>IFERROR('Farmer Data'!C11*VLOOKUP('Farmer Data'!B11,'Crop Reference Table'!A:B,2,0)*MIN(B12,1),0)</f>
        <v>5.5714285714285712</v>
      </c>
      <c r="D12" s="29">
        <f>IFERROR(C12*VLOOKUP('Farmer Data'!B11,'Crop Reference Table'!A:D,4,0),0)</f>
        <v>445714.28571428568</v>
      </c>
      <c r="E12" s="28">
        <f>IFERROR('Farmer Data'!E11/D12,0)</f>
        <v>0.89743589743589747</v>
      </c>
      <c r="F12" s="30" t="str">
        <f t="shared" si="0"/>
        <v>❌ Reject</v>
      </c>
    </row>
    <row r="13" spans="1:6" ht="14.95" customHeight="1" x14ac:dyDescent="0.3">
      <c r="A13" s="23" t="str">
        <f>'Farmer Data'!A12</f>
        <v>James Wilson</v>
      </c>
      <c r="B13" s="24">
        <f>IFERROR('Farmer Data'!D12/(VLOOKUP('Farmer Data'!B12,'Crop Reference Table'!A:C,3,0)*'Farmer Data'!C12),0)</f>
        <v>0.375</v>
      </c>
      <c r="C13" s="24">
        <f>IFERROR('Farmer Data'!C12*VLOOKUP('Farmer Data'!B12,'Crop Reference Table'!A:B,2,0)*MIN(B13,1),0)</f>
        <v>4.5</v>
      </c>
      <c r="D13" s="25">
        <f>IFERROR(C13*VLOOKUP('Farmer Data'!B12,'Crop Reference Table'!A:D,4,0),0)</f>
        <v>1800000</v>
      </c>
      <c r="E13" s="24">
        <f>IFERROR('Farmer Data'!E12/D13,0)</f>
        <v>1.1111111111111112</v>
      </c>
      <c r="F13" s="30" t="str">
        <f t="shared" si="0"/>
        <v>❌ Reject</v>
      </c>
    </row>
    <row r="14" spans="1:6" ht="14.95" customHeight="1" x14ac:dyDescent="0.3">
      <c r="A14" s="27" t="str">
        <f>'Farmer Data'!A13</f>
        <v>Jane Doe</v>
      </c>
      <c r="B14" s="28">
        <f>IFERROR('Farmer Data'!D13/(VLOOKUP('Farmer Data'!B13,'Crop Reference Table'!A:C,3,0)*'Farmer Data'!C13),0)</f>
        <v>0.22870211549456831</v>
      </c>
      <c r="C14" s="28">
        <f>IFERROR('Farmer Data'!C13*VLOOKUP('Farmer Data'!B13,'Crop Reference Table'!A:B,2,0)*MIN(B14,1),0)</f>
        <v>1.3036020583190393</v>
      </c>
      <c r="D14" s="29">
        <f>IFERROR(C14*VLOOKUP('Farmer Data'!B13,'Crop Reference Table'!A:D,4,0),0)</f>
        <v>847341.33790737553</v>
      </c>
      <c r="E14" s="28">
        <f>IFERROR('Farmer Data'!E13/D14,0)</f>
        <v>0.41305668016194336</v>
      </c>
      <c r="F14" s="26" t="str">
        <f t="shared" si="0"/>
        <v>✅ Approve</v>
      </c>
    </row>
    <row r="15" spans="1:6" ht="14.95" customHeight="1" x14ac:dyDescent="0.3">
      <c r="A15" s="23" t="str">
        <f>'Farmer Data'!A14</f>
        <v>Amara Diallo</v>
      </c>
      <c r="B15" s="24">
        <f>IFERROR('Farmer Data'!D14/(VLOOKUP('Farmer Data'!B14,'Crop Reference Table'!A:C,3,0)*'Farmer Data'!C14),0)</f>
        <v>0.2857142857142857</v>
      </c>
      <c r="C15" s="24">
        <f>IFERROR('Farmer Data'!C14*VLOOKUP('Farmer Data'!B14,'Crop Reference Table'!A:B,2,0)*MIN(B15,1),0)</f>
        <v>15.6</v>
      </c>
      <c r="D15" s="25">
        <f>IFERROR(C15*VLOOKUP('Farmer Data'!B14,'Crop Reference Table'!A:D,4,0),0)</f>
        <v>1248000</v>
      </c>
      <c r="E15" s="24">
        <f>IFERROR('Farmer Data'!E14/D15,0)</f>
        <v>0.64102564102564108</v>
      </c>
      <c r="F15" s="26" t="str">
        <f t="shared" si="0"/>
        <v>🟡 Conditional</v>
      </c>
    </row>
    <row r="16" spans="1:6" ht="14.95" customHeight="1" x14ac:dyDescent="0.3">
      <c r="A16" s="27" t="str">
        <f>'Farmer Data'!A15</f>
        <v>Kofi Mensah</v>
      </c>
      <c r="B16" s="28">
        <f>IFERROR('Farmer Data'!D15/(VLOOKUP('Farmer Data'!B15,'Crop Reference Table'!A:C,3,0)*'Farmer Data'!C15),0)</f>
        <v>0.22281639928698752</v>
      </c>
      <c r="C16" s="28">
        <f>IFERROR('Farmer Data'!C15*VLOOKUP('Farmer Data'!B15,'Crop Reference Table'!A:B,2,0)*MIN(B16,1),0)</f>
        <v>1.1140819964349375</v>
      </c>
      <c r="D16" s="29">
        <f>IFERROR(C16*VLOOKUP('Farmer Data'!B15,'Crop Reference Table'!A:D,4,0),0)</f>
        <v>133689.83957219252</v>
      </c>
      <c r="E16" s="28">
        <f>IFERROR('Farmer Data'!E15/D16,0)</f>
        <v>2.2439999999999998</v>
      </c>
      <c r="F16" s="26" t="str">
        <f t="shared" si="0"/>
        <v>❌ Reject</v>
      </c>
    </row>
    <row r="17" spans="1:6" ht="14.95" customHeight="1" x14ac:dyDescent="0.3">
      <c r="A17" s="23" t="str">
        <f>'Farmer Data'!A16</f>
        <v>Fatima Usman</v>
      </c>
      <c r="B17" s="24">
        <f>IFERROR('Farmer Data'!D16/(VLOOKUP('Farmer Data'!B16,'Crop Reference Table'!A:C,3,0)*'Farmer Data'!C16),0)</f>
        <v>0.375</v>
      </c>
      <c r="C17" s="24">
        <f>IFERROR('Farmer Data'!C16*VLOOKUP('Farmer Data'!B16,'Crop Reference Table'!A:B,2,0)*MIN(B17,1),0)</f>
        <v>2.25</v>
      </c>
      <c r="D17" s="25">
        <f>IFERROR(C17*VLOOKUP('Farmer Data'!B16,'Crop Reference Table'!A:D,4,0),0)</f>
        <v>900000</v>
      </c>
      <c r="E17" s="24">
        <f>IFERROR('Farmer Data'!E16/D17,0)</f>
        <v>1</v>
      </c>
      <c r="F17" s="30" t="str">
        <f t="shared" si="0"/>
        <v>❌ Reject</v>
      </c>
    </row>
    <row r="18" spans="1:6" ht="14.95" customHeight="1" x14ac:dyDescent="0.3">
      <c r="A18" s="27" t="str">
        <f>'Farmer Data'!A17</f>
        <v>Ngozi Eze</v>
      </c>
      <c r="B18" s="28">
        <f>IFERROR('Farmer Data'!D17/(VLOOKUP('Farmer Data'!B17,'Crop Reference Table'!A:C,3,0)*'Farmer Data'!C17),0)</f>
        <v>0.30017152658662094</v>
      </c>
      <c r="C18" s="28">
        <f>IFERROR('Farmer Data'!C17*VLOOKUP('Farmer Data'!B17,'Crop Reference Table'!A:B,2,0)*MIN(B18,1),0)</f>
        <v>2.2813036020583191</v>
      </c>
      <c r="D18" s="29">
        <f>IFERROR(C18*VLOOKUP('Farmer Data'!B17,'Crop Reference Table'!A:D,4,0),0)</f>
        <v>1482847.3413379074</v>
      </c>
      <c r="E18" s="28">
        <f>IFERROR('Farmer Data'!E17/D18,0)</f>
        <v>0.33718912666281087</v>
      </c>
      <c r="F18" s="26" t="str">
        <f t="shared" si="0"/>
        <v>✅ Approve</v>
      </c>
    </row>
    <row r="19" spans="1:6" ht="14.95" customHeight="1" x14ac:dyDescent="0.3">
      <c r="A19" s="23" t="str">
        <f>'Farmer Data'!A18</f>
        <v>Chidi Okafor</v>
      </c>
      <c r="B19" s="24">
        <f>IFERROR('Farmer Data'!D18/(VLOOKUP('Farmer Data'!B18,'Crop Reference Table'!A:C,3,0)*'Farmer Data'!C18),0)</f>
        <v>0.43650793650793651</v>
      </c>
      <c r="C19" s="24">
        <f>IFERROR('Farmer Data'!C18*VLOOKUP('Farmer Data'!B18,'Crop Reference Table'!A:B,2,0)*MIN(B19,1),0)</f>
        <v>30.642857142857146</v>
      </c>
      <c r="D19" s="25">
        <f>IFERROR(C19*VLOOKUP('Farmer Data'!B18,'Crop Reference Table'!A:D,4,0),0)</f>
        <v>2451428.5714285718</v>
      </c>
      <c r="E19" s="24">
        <f>IFERROR('Farmer Data'!E18/D19,0)</f>
        <v>0.48951048951048942</v>
      </c>
      <c r="F19" s="26" t="str">
        <f t="shared" si="0"/>
        <v>✅ Approve</v>
      </c>
    </row>
    <row r="21" spans="1:6" ht="14.95" customHeight="1" x14ac:dyDescent="0.3">
      <c r="A21" s="7" t="s">
        <v>45</v>
      </c>
      <c r="B21" s="7"/>
      <c r="C21" s="7"/>
      <c r="D21" s="7"/>
      <c r="E21" s="7"/>
      <c r="F21" s="7"/>
    </row>
    <row r="22" spans="1:6" ht="14.95" customHeight="1" x14ac:dyDescent="0.3">
      <c r="A22" s="31" t="s">
        <v>46</v>
      </c>
      <c r="B22" s="6" t="s">
        <v>47</v>
      </c>
      <c r="C22" s="6"/>
      <c r="D22" s="5" t="s">
        <v>48</v>
      </c>
      <c r="E22" s="5"/>
      <c r="F22" s="5"/>
    </row>
    <row r="23" spans="1:6" ht="14.95" customHeight="1" x14ac:dyDescent="0.3">
      <c r="A23" s="31" t="s">
        <v>46</v>
      </c>
      <c r="B23" s="6" t="s">
        <v>49</v>
      </c>
      <c r="C23" s="6"/>
      <c r="D23" s="4" t="s">
        <v>50</v>
      </c>
      <c r="E23" s="4"/>
      <c r="F23" s="4"/>
    </row>
    <row r="24" spans="1:6" ht="14.95" customHeight="1" x14ac:dyDescent="0.3">
      <c r="A24" s="31" t="s">
        <v>46</v>
      </c>
      <c r="B24" s="6" t="s">
        <v>51</v>
      </c>
      <c r="C24" s="6"/>
      <c r="D24" s="3" t="s">
        <v>52</v>
      </c>
      <c r="E24" s="3"/>
      <c r="F24" s="3"/>
    </row>
  </sheetData>
  <mergeCells count="10">
    <mergeCell ref="B23:C23"/>
    <mergeCell ref="D23:F23"/>
    <mergeCell ref="B24:C24"/>
    <mergeCell ref="D24:F24"/>
    <mergeCell ref="A1:F1"/>
    <mergeCell ref="A2:F2"/>
    <mergeCell ref="A3:F3"/>
    <mergeCell ref="A21:F21"/>
    <mergeCell ref="B22:C22"/>
    <mergeCell ref="D22:F2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showGridLines="0" zoomScaleNormal="100" workbookViewId="0"/>
  </sheetViews>
  <sheetFormatPr defaultColWidth="8.69921875" defaultRowHeight="14.4" x14ac:dyDescent="0.3"/>
  <cols>
    <col min="1" max="1" width="20" style="11" customWidth="1"/>
    <col min="2" max="2" width="13" style="11" customWidth="1"/>
    <col min="3" max="3" width="15" style="11" customWidth="1"/>
    <col min="4" max="4" width="20" style="11" customWidth="1"/>
    <col min="5" max="5" width="24" style="11" customWidth="1"/>
    <col min="6" max="6" width="13" style="11" customWidth="1"/>
    <col min="7" max="7" width="20" style="11" customWidth="1"/>
  </cols>
  <sheetData>
    <row r="1" spans="1:8" ht="19.55" customHeight="1" x14ac:dyDescent="0.3">
      <c r="A1" s="2" t="s">
        <v>53</v>
      </c>
      <c r="B1" s="2"/>
      <c r="C1" s="2"/>
      <c r="D1" s="2"/>
      <c r="E1" s="2"/>
      <c r="F1" s="2"/>
      <c r="G1" s="2"/>
      <c r="H1" s="2"/>
    </row>
    <row r="2" spans="1:8" ht="14.95" customHeight="1" x14ac:dyDescent="0.3">
      <c r="A2" s="1" t="s">
        <v>54</v>
      </c>
      <c r="B2" s="1"/>
      <c r="C2" s="1"/>
      <c r="D2" s="1"/>
      <c r="E2" s="1"/>
      <c r="F2" s="1"/>
      <c r="G2" s="1"/>
      <c r="H2" s="1"/>
    </row>
    <row r="4" spans="1:8" ht="13.6" customHeight="1" x14ac:dyDescent="0.3"/>
    <row r="5" spans="1:8" ht="39.75" customHeight="1" x14ac:dyDescent="0.3">
      <c r="B5" s="32">
        <f>COUNTA(Calculations!A5:A19)</f>
        <v>15</v>
      </c>
      <c r="C5" s="33"/>
      <c r="D5" s="34">
        <f>COUNTIF(Calculations!F5:F19,"*Approve*")</f>
        <v>4</v>
      </c>
      <c r="E5" s="33"/>
      <c r="F5" s="35">
        <f>COUNTIF(Calculations!F5:F19,"*Conditional*")</f>
        <v>2</v>
      </c>
      <c r="G5" s="33"/>
      <c r="H5" s="36">
        <f>COUNTIF(Calculations!F5:F19,"*Reject*")</f>
        <v>9</v>
      </c>
    </row>
    <row r="6" spans="1:8" ht="19.55" customHeight="1" x14ac:dyDescent="0.3">
      <c r="B6" s="37" t="s">
        <v>55</v>
      </c>
      <c r="C6" s="33"/>
      <c r="D6" s="26" t="s">
        <v>56</v>
      </c>
      <c r="E6" s="33"/>
      <c r="F6" s="38" t="s">
        <v>57</v>
      </c>
      <c r="G6" s="33"/>
      <c r="H6" s="30" t="s">
        <v>58</v>
      </c>
    </row>
    <row r="7" spans="1:8" ht="13.6" customHeight="1" x14ac:dyDescent="0.3"/>
    <row r="9" spans="1:8" ht="27.7" customHeight="1" x14ac:dyDescent="0.3">
      <c r="A9" s="12" t="s">
        <v>59</v>
      </c>
      <c r="B9" s="12" t="s">
        <v>2</v>
      </c>
      <c r="C9" s="12" t="s">
        <v>18</v>
      </c>
      <c r="D9" s="12" t="s">
        <v>41</v>
      </c>
      <c r="E9" s="12" t="s">
        <v>42</v>
      </c>
      <c r="F9" s="12" t="s">
        <v>43</v>
      </c>
      <c r="G9" s="12" t="s">
        <v>60</v>
      </c>
    </row>
    <row r="10" spans="1:8" ht="14.95" customHeight="1" x14ac:dyDescent="0.3">
      <c r="A10" s="39" t="str">
        <f>Calculations!A5</f>
        <v>Samuel Okonjo</v>
      </c>
      <c r="B10" s="39" t="str">
        <f>'Farmer Data'!B4</f>
        <v>Maize</v>
      </c>
      <c r="C10" s="40">
        <f>'Farmer Data'!C4</f>
        <v>3</v>
      </c>
      <c r="D10" s="28">
        <f>Calculations!C5</f>
        <v>1.7825311942959001</v>
      </c>
      <c r="E10" s="29">
        <f>Calculations!D5</f>
        <v>213903.74331550801</v>
      </c>
      <c r="F10" s="28">
        <f>Calculations!E5</f>
        <v>2.3375000000000004</v>
      </c>
      <c r="G10" s="41" t="str">
        <f>Calculations!F5</f>
        <v>❌ Reject</v>
      </c>
    </row>
    <row r="11" spans="1:8" ht="14.95" customHeight="1" x14ac:dyDescent="0.3">
      <c r="A11" s="42" t="str">
        <f>Calculations!A6</f>
        <v>David Mwangi</v>
      </c>
      <c r="B11" s="42" t="str">
        <f>'Farmer Data'!B5</f>
        <v>Maize</v>
      </c>
      <c r="C11" s="43">
        <f>'Farmer Data'!C5</f>
        <v>5</v>
      </c>
      <c r="D11" s="24">
        <f>Calculations!C6</f>
        <v>3.119429590017825</v>
      </c>
      <c r="E11" s="25">
        <f>Calculations!D6</f>
        <v>374331.55080213898</v>
      </c>
      <c r="F11" s="24">
        <f>Calculations!E6</f>
        <v>2.4042857142857148</v>
      </c>
      <c r="G11" s="44" t="str">
        <f>Calculations!F6</f>
        <v>❌ Reject</v>
      </c>
    </row>
    <row r="12" spans="1:8" ht="14.95" customHeight="1" x14ac:dyDescent="0.3">
      <c r="A12" s="39" t="str">
        <f>Calculations!A7</f>
        <v>Sarah Otieno</v>
      </c>
      <c r="B12" s="39" t="str">
        <f>'Farmer Data'!B6</f>
        <v>Rice</v>
      </c>
      <c r="C12" s="40">
        <f>'Farmer Data'!C6</f>
        <v>2</v>
      </c>
      <c r="D12" s="28">
        <f>Calculations!C7</f>
        <v>0.65180102915951965</v>
      </c>
      <c r="E12" s="29">
        <f>Calculations!D7</f>
        <v>423670.66895368777</v>
      </c>
      <c r="F12" s="28">
        <f>Calculations!E7</f>
        <v>0.70809716599190298</v>
      </c>
      <c r="G12" s="41" t="str">
        <f>Calculations!F7</f>
        <v>🟡 Conditional</v>
      </c>
    </row>
    <row r="13" spans="1:8" ht="14.95" customHeight="1" x14ac:dyDescent="0.3">
      <c r="A13" s="42" t="str">
        <f>Calculations!A8</f>
        <v>Emmanuel Kibet</v>
      </c>
      <c r="B13" s="42" t="str">
        <f>'Farmer Data'!B7</f>
        <v>Cassava</v>
      </c>
      <c r="C13" s="43">
        <f>'Farmer Data'!C7</f>
        <v>4</v>
      </c>
      <c r="D13" s="24">
        <f>Calculations!C8</f>
        <v>9.75</v>
      </c>
      <c r="E13" s="25">
        <f>Calculations!D8</f>
        <v>780000</v>
      </c>
      <c r="F13" s="24">
        <f>Calculations!E8</f>
        <v>0.76923076923076927</v>
      </c>
      <c r="G13" s="44" t="str">
        <f>Calculations!F8</f>
        <v>❌ Reject</v>
      </c>
    </row>
    <row r="14" spans="1:8" ht="14.95" customHeight="1" x14ac:dyDescent="0.3">
      <c r="A14" s="39" t="str">
        <f>Calculations!A9</f>
        <v>Linah Chemutai</v>
      </c>
      <c r="B14" s="39" t="str">
        <f>'Farmer Data'!B8</f>
        <v>Soybeans</v>
      </c>
      <c r="C14" s="40">
        <f>'Farmer Data'!C8</f>
        <v>1</v>
      </c>
      <c r="D14" s="28">
        <f>Calculations!C9</f>
        <v>0.5625</v>
      </c>
      <c r="E14" s="29">
        <f>Calculations!D9</f>
        <v>225000</v>
      </c>
      <c r="F14" s="28">
        <f>Calculations!E9</f>
        <v>0.88888888888888884</v>
      </c>
      <c r="G14" s="41" t="str">
        <f>Calculations!F9</f>
        <v>❌ Reject</v>
      </c>
    </row>
    <row r="15" spans="1:8" ht="14.95" customHeight="1" x14ac:dyDescent="0.3">
      <c r="A15" s="42" t="str">
        <f>Calculations!A10</f>
        <v>Ahmed Ali</v>
      </c>
      <c r="B15" s="42" t="str">
        <f>'Farmer Data'!B9</f>
        <v>Maize</v>
      </c>
      <c r="C15" s="43">
        <f>'Farmer Data'!C9</f>
        <v>8</v>
      </c>
      <c r="D15" s="24">
        <f>Calculations!C10</f>
        <v>5.3475935828877006</v>
      </c>
      <c r="E15" s="25">
        <f>Calculations!D10</f>
        <v>641711.22994652402</v>
      </c>
      <c r="F15" s="24">
        <f>Calculations!E10</f>
        <v>2.3375000000000004</v>
      </c>
      <c r="G15" s="44" t="str">
        <f>Calculations!F10</f>
        <v>❌ Reject</v>
      </c>
    </row>
    <row r="16" spans="1:8" ht="14.95" customHeight="1" x14ac:dyDescent="0.3">
      <c r="A16" s="39" t="str">
        <f>Calculations!A11</f>
        <v>Beatrice Kimani</v>
      </c>
      <c r="B16" s="39" t="str">
        <f>'Farmer Data'!B10</f>
        <v>Rice</v>
      </c>
      <c r="C16" s="40">
        <f>'Farmer Data'!C10</f>
        <v>6</v>
      </c>
      <c r="D16" s="28">
        <f>Calculations!C11</f>
        <v>2.9331046312178382</v>
      </c>
      <c r="E16" s="29">
        <f>Calculations!D11</f>
        <v>1906518.0102915948</v>
      </c>
      <c r="F16" s="28">
        <f>Calculations!E11</f>
        <v>0.36716149347728305</v>
      </c>
      <c r="G16" s="41" t="str">
        <f>Calculations!F11</f>
        <v>✅ Approve</v>
      </c>
    </row>
    <row r="17" spans="1:7" ht="14.95" customHeight="1" x14ac:dyDescent="0.3">
      <c r="A17" s="42" t="str">
        <f>Calculations!A12</f>
        <v>Samuel Mwangi</v>
      </c>
      <c r="B17" s="42" t="str">
        <f>'Farmer Data'!B11</f>
        <v>Cassava</v>
      </c>
      <c r="C17" s="43">
        <f>'Farmer Data'!C11</f>
        <v>2</v>
      </c>
      <c r="D17" s="24">
        <f>Calculations!C12</f>
        <v>5.5714285714285712</v>
      </c>
      <c r="E17" s="25">
        <f>Calculations!D12</f>
        <v>445714.28571428568</v>
      </c>
      <c r="F17" s="24">
        <f>Calculations!E12</f>
        <v>0.89743589743589747</v>
      </c>
      <c r="G17" s="44" t="str">
        <f>Calculations!F12</f>
        <v>❌ Reject</v>
      </c>
    </row>
    <row r="18" spans="1:7" ht="14.95" customHeight="1" x14ac:dyDescent="0.3">
      <c r="A18" s="39" t="str">
        <f>Calculations!A13</f>
        <v>James Wilson</v>
      </c>
      <c r="B18" s="39" t="str">
        <f>'Farmer Data'!B12</f>
        <v>Soybeans</v>
      </c>
      <c r="C18" s="40">
        <f>'Farmer Data'!C12</f>
        <v>10</v>
      </c>
      <c r="D18" s="28">
        <f>Calculations!C13</f>
        <v>4.5</v>
      </c>
      <c r="E18" s="29">
        <f>Calculations!D13</f>
        <v>1800000</v>
      </c>
      <c r="F18" s="28">
        <f>Calculations!E13</f>
        <v>1.1111111111111112</v>
      </c>
      <c r="G18" s="41" t="str">
        <f>Calculations!F13</f>
        <v>❌ Reject</v>
      </c>
    </row>
    <row r="19" spans="1:7" ht="14.95" customHeight="1" x14ac:dyDescent="0.3">
      <c r="A19" s="42" t="str">
        <f>Calculations!A14</f>
        <v>Jane Doe</v>
      </c>
      <c r="B19" s="42" t="str">
        <f>'Farmer Data'!B13</f>
        <v>Rice</v>
      </c>
      <c r="C19" s="43">
        <f>'Farmer Data'!C13</f>
        <v>3</v>
      </c>
      <c r="D19" s="24">
        <f>Calculations!C14</f>
        <v>1.3036020583190393</v>
      </c>
      <c r="E19" s="25">
        <f>Calculations!D14</f>
        <v>847341.33790737553</v>
      </c>
      <c r="F19" s="24">
        <f>Calculations!E14</f>
        <v>0.41305668016194336</v>
      </c>
      <c r="G19" s="44" t="str">
        <f>Calculations!F14</f>
        <v>✅ Approve</v>
      </c>
    </row>
    <row r="20" spans="1:7" ht="14.95" customHeight="1" x14ac:dyDescent="0.3">
      <c r="A20" s="39" t="str">
        <f>Calculations!A15</f>
        <v>Amara Diallo</v>
      </c>
      <c r="B20" s="39" t="str">
        <f>'Farmer Data'!B14</f>
        <v>Cassava</v>
      </c>
      <c r="C20" s="40">
        <f>'Farmer Data'!C14</f>
        <v>7</v>
      </c>
      <c r="D20" s="28">
        <f>Calculations!C15</f>
        <v>15.6</v>
      </c>
      <c r="E20" s="29">
        <f>Calculations!D15</f>
        <v>1248000</v>
      </c>
      <c r="F20" s="28">
        <f>Calculations!E15</f>
        <v>0.64102564102564108</v>
      </c>
      <c r="G20" s="41" t="str">
        <f>Calculations!F15</f>
        <v>🟡 Conditional</v>
      </c>
    </row>
    <row r="21" spans="1:7" ht="14.95" customHeight="1" x14ac:dyDescent="0.3">
      <c r="A21" s="42" t="str">
        <f>Calculations!A16</f>
        <v>Kofi Mensah</v>
      </c>
      <c r="B21" s="42" t="str">
        <f>'Farmer Data'!B15</f>
        <v>Maize</v>
      </c>
      <c r="C21" s="43">
        <f>'Farmer Data'!C15</f>
        <v>2</v>
      </c>
      <c r="D21" s="24">
        <f>Calculations!C16</f>
        <v>1.1140819964349375</v>
      </c>
      <c r="E21" s="25">
        <f>Calculations!D16</f>
        <v>133689.83957219252</v>
      </c>
      <c r="F21" s="24">
        <f>Calculations!E16</f>
        <v>2.2439999999999998</v>
      </c>
      <c r="G21" s="44" t="str">
        <f>Calculations!F16</f>
        <v>❌ Reject</v>
      </c>
    </row>
    <row r="22" spans="1:7" ht="14.95" customHeight="1" x14ac:dyDescent="0.3">
      <c r="A22" s="39" t="str">
        <f>Calculations!A17</f>
        <v>Fatima Usman</v>
      </c>
      <c r="B22" s="39" t="str">
        <f>'Farmer Data'!B16</f>
        <v>Soybeans</v>
      </c>
      <c r="C22" s="40">
        <f>'Farmer Data'!C16</f>
        <v>5</v>
      </c>
      <c r="D22" s="28">
        <f>Calculations!C17</f>
        <v>2.25</v>
      </c>
      <c r="E22" s="29">
        <f>Calculations!D17</f>
        <v>900000</v>
      </c>
      <c r="F22" s="28">
        <f>Calculations!E17</f>
        <v>1</v>
      </c>
      <c r="G22" s="41" t="str">
        <f>Calculations!F17</f>
        <v>❌ Reject</v>
      </c>
    </row>
    <row r="23" spans="1:7" ht="14.95" customHeight="1" x14ac:dyDescent="0.3">
      <c r="A23" s="42" t="str">
        <f>Calculations!A18</f>
        <v>Ngozi Eze</v>
      </c>
      <c r="B23" s="42" t="str">
        <f>'Farmer Data'!B17</f>
        <v>Rice</v>
      </c>
      <c r="C23" s="43">
        <f>'Farmer Data'!C17</f>
        <v>4</v>
      </c>
      <c r="D23" s="24">
        <f>Calculations!C18</f>
        <v>2.2813036020583191</v>
      </c>
      <c r="E23" s="25">
        <f>Calculations!D18</f>
        <v>1482847.3413379074</v>
      </c>
      <c r="F23" s="24">
        <f>Calculations!E18</f>
        <v>0.33718912666281087</v>
      </c>
      <c r="G23" s="44" t="str">
        <f>Calculations!F18</f>
        <v>✅ Approve</v>
      </c>
    </row>
    <row r="24" spans="1:7" ht="14.95" customHeight="1" x14ac:dyDescent="0.3">
      <c r="A24" s="39" t="str">
        <f>Calculations!A19</f>
        <v>Chidi Okafor</v>
      </c>
      <c r="B24" s="39" t="str">
        <f>'Farmer Data'!B18</f>
        <v>Cassava</v>
      </c>
      <c r="C24" s="40">
        <f>'Farmer Data'!C18</f>
        <v>9</v>
      </c>
      <c r="D24" s="28">
        <f>Calculations!C19</f>
        <v>30.642857142857146</v>
      </c>
      <c r="E24" s="29">
        <f>Calculations!D19</f>
        <v>2451428.5714285718</v>
      </c>
      <c r="F24" s="28">
        <f>Calculations!E19</f>
        <v>0.48951048951048942</v>
      </c>
      <c r="G24" s="41" t="str">
        <f>Calculations!F19</f>
        <v>✅ Approve</v>
      </c>
    </row>
    <row r="26" spans="1:7" ht="14.95" customHeight="1" x14ac:dyDescent="0.3">
      <c r="A26" s="8" t="s">
        <v>61</v>
      </c>
      <c r="B26" s="8"/>
      <c r="C26" s="8"/>
      <c r="D26" s="8"/>
      <c r="E26" s="8"/>
      <c r="F26" s="8"/>
      <c r="G26" s="8"/>
    </row>
  </sheetData>
  <mergeCells count="3">
    <mergeCell ref="A1:H1"/>
    <mergeCell ref="A2:H2"/>
    <mergeCell ref="A26:G2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Crop Reference Table</vt:lpstr>
      <vt:lpstr>Farmer Data</vt:lpstr>
      <vt:lpstr>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HpUser</cp:lastModifiedBy>
  <cp:revision>0</cp:revision>
  <dcterms:created xsi:type="dcterms:W3CDTF">2026-03-23T12:43:12Z</dcterms:created>
  <dcterms:modified xsi:type="dcterms:W3CDTF">2026-03-24T15:42:23Z</dcterms:modified>
  <dc:language>en-US</dc:language>
</cp:coreProperties>
</file>