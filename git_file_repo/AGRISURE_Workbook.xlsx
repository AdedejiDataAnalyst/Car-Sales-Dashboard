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p Reference Table" sheetId="1" state="visible" r:id="rId3"/>
    <sheet name="Farmer Data" sheetId="2" state="visible" r:id="rId4"/>
    <sheet name="Calculations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<sst xmlns="http://schemas.openxmlformats.org/spreadsheetml/2006/main" count="88" uniqueCount="63">
  <si>
    <t xml:space="preserve">AGRISURE — Crop Reference Table</t>
  </si>
  <si>
    <t xml:space="preserve">Source: NAERLS 2024 Report | FAO Nigeria | FMARD Estimates</t>
  </si>
  <si>
    <t xml:space="preserve">Crop</t>
  </si>
  <si>
    <t xml:space="preserve">Base Yield (t/ha)</t>
  </si>
  <si>
    <t xml:space="preserve">Input Cost (₦/ha)</t>
  </si>
  <si>
    <t xml:space="preserve">Market Price (₦/tonne)</t>
  </si>
  <si>
    <t xml:space="preserve">Source</t>
  </si>
  <si>
    <t xml:space="preserve">Maize</t>
  </si>
  <si>
    <t xml:space="preserve">NAERLS 2024 Report</t>
  </si>
  <si>
    <t xml:space="preserve">Rice</t>
  </si>
  <si>
    <t xml:space="preserve">Cassava</t>
  </si>
  <si>
    <t xml:space="preserve">FAO / FAOSTAT Nigeria</t>
  </si>
  <si>
    <t xml:space="preserve">Soybeans</t>
  </si>
  <si>
    <t xml:space="preserve">FAO / FMARD Estimates</t>
  </si>
  <si>
    <t xml:space="preserve">📘 Blue numbers = inputs you can update. These figures are real Nigerian averages.</t>
  </si>
  <si>
    <t xml:space="preserve">AGRISURE — Farmer Sample Dataset (Input Data)</t>
  </si>
  <si>
    <t xml:space="preserve">Enter farmer details below — blue cells are inputs you fill in</t>
  </si>
  <si>
    <t xml:space="preserve">Farmer Name</t>
  </si>
  <si>
    <t xml:space="preserve">Farm Size (ha)</t>
  </si>
  <si>
    <t xml:space="preserve">Actual Input Spend (₦)</t>
  </si>
  <si>
    <t xml:space="preserve">Loan Requested (₦)</t>
  </si>
  <si>
    <t xml:space="preserve">Season (months)</t>
  </si>
  <si>
    <t xml:space="preserve">Emeka Obi</t>
  </si>
  <si>
    <t xml:space="preserve">Amina Bello</t>
  </si>
  <si>
    <t xml:space="preserve">Tunde Adeyemi</t>
  </si>
  <si>
    <t xml:space="preserve">Ngozi Eze</t>
  </si>
  <si>
    <t xml:space="preserve">Chukwu Nwosu</t>
  </si>
  <si>
    <t xml:space="preserve">Fatima Usman</t>
  </si>
  <si>
    <t xml:space="preserve">Segun Adebayo</t>
  </si>
  <si>
    <t xml:space="preserve">Binta Garba</t>
  </si>
  <si>
    <t xml:space="preserve">Olu Martins</t>
  </si>
  <si>
    <t xml:space="preserve">Chioma Okafor</t>
  </si>
  <si>
    <t xml:space="preserve">Musa Danladi</t>
  </si>
  <si>
    <t xml:space="preserve">Yetunde Lawal</t>
  </si>
  <si>
    <t xml:space="preserve">Ibrahim Sule</t>
  </si>
  <si>
    <t xml:space="preserve">Grace Okoro</t>
  </si>
  <si>
    <t xml:space="preserve">Dele Ogunleye</t>
  </si>
  <si>
    <t xml:space="preserve">📘 Blue = inputs you fill. Crop must exactly match: Maize | Rice | Cassava | Soybeans</t>
  </si>
  <si>
    <t xml:space="preserve">AGRISURE — Yield Prediction &amp; Loan Risk Calculations</t>
  </si>
  <si>
    <t xml:space="preserve">Formulas pull data from 'Farmer Data' and 'Crop Reference Table' sheets automatically</t>
  </si>
  <si>
    <t xml:space="preserve">🟢 Green = linked from other sheets   |   ⚫ Black = calculated formula</t>
  </si>
  <si>
    <t xml:space="preserve">Input Efficiency</t>
  </si>
  <si>
    <t xml:space="preserve">Predicted Yield (t)</t>
  </si>
  <si>
    <t xml:space="preserve">Projected Revenue (₦)</t>
  </si>
  <si>
    <t xml:space="preserve">Risk Score</t>
  </si>
  <si>
    <t xml:space="preserve">Loan Decision</t>
  </si>
  <si>
    <t xml:space="preserve">RISK THRESHOLD KEY</t>
  </si>
  <si>
    <t xml:space="preserve">Threshold:</t>
  </si>
  <si>
    <t xml:space="preserve">Risk Score &lt; 0.50</t>
  </si>
  <si>
    <t xml:space="preserve">✅ Approve</t>
  </si>
  <si>
    <t xml:space="preserve">Risk Score 0.50 – 0.75</t>
  </si>
  <si>
    <t xml:space="preserve">🟡 Conditional Approval</t>
  </si>
  <si>
    <t xml:space="preserve">Risk Score &gt; 0.75</t>
  </si>
  <si>
    <t xml:space="preserve">❌ Reject</t>
  </si>
  <si>
    <t xml:space="preserve">AGRISURE — Results Dashboard</t>
  </si>
  <si>
    <t xml:space="preserve">Summary of yield predictions and loan decisions across all 15 farmers</t>
  </si>
  <si>
    <t xml:space="preserve">Total Farmers</t>
  </si>
  <si>
    <t xml:space="preserve">✅ Approved</t>
  </si>
  <si>
    <t xml:space="preserve">🟡 Conditional</t>
  </si>
  <si>
    <t xml:space="preserve">❌ Rejected</t>
  </si>
  <si>
    <t xml:space="preserve">Farmer</t>
  </si>
  <si>
    <t xml:space="preserve">Decision</t>
  </si>
  <si>
    <t xml:space="preserve">📊 Tip: Select columns D &amp; E then Insert → Chart to create a visual yield vs revenue chart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</si>
</sst>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"/>
    <numFmt numFmtId="167" formatCode="0.00"/>
    <numFmt numFmtId="168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b val="true"/>
      <sz val="26"/>
      <color rgb="FF276221"/>
      <name val="Arial"/>
      <family val="0"/>
      <charset val="1"/>
    </font>
    <font>
      <b val="true"/>
      <sz val="26"/>
      <color rgb="FF9C6500"/>
      <name val="Arial"/>
      <family val="0"/>
      <charset val="1"/>
    </font>
    <font>
      <b val="true"/>
      <sz val="26"/>
      <color rgb="FF9C000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4D1C"/>
        <bgColor rgb="FF276221"/>
      </patternFill>
    </fill>
    <fill>
      <patternFill patternType="solid">
        <fgColor rgb="FF4A8C2A"/>
        <bgColor rgb="FF276221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4F1E8"/>
      </patternFill>
    </fill>
    <fill>
      <patternFill patternType="solid">
        <fgColor rgb="FFF4F1E8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  <fill>
      <patternFill patternType="solid">
        <fgColor rgb="FFFFEB9C"/>
        <bgColor rgb="FFF4F1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4F1E8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A8C2A"/>
      <rgbColor rgb="FF003300"/>
      <rgbColor rgb="FF276221"/>
      <rgbColor rgb="FF993300"/>
      <rgbColor rgb="FF993366"/>
      <rgbColor rgb="FF333399"/>
      <rgbColor rgb="FF1B4D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5" hidden="false" customHeight="false" outlineLevel="0" collapsed="false">
      <c r="A4" s="4" t="s">
        <v>7</v>
      </c>
      <c r="B4" s="5" t="n">
        <v>2.5</v>
      </c>
      <c r="C4" s="6" t="n">
        <v>561000</v>
      </c>
      <c r="D4" s="6" t="n">
        <v>120000</v>
      </c>
      <c r="E4" s="7" t="s">
        <v>8</v>
      </c>
    </row>
    <row r="5" customFormat="false" ht="15" hidden="false" customHeight="false" outlineLevel="0" collapsed="false">
      <c r="A5" s="8" t="s">
        <v>9</v>
      </c>
      <c r="B5" s="9" t="n">
        <v>1.9</v>
      </c>
      <c r="C5" s="10" t="n">
        <v>583000</v>
      </c>
      <c r="D5" s="10" t="n">
        <v>650000</v>
      </c>
      <c r="E5" s="11" t="s">
        <v>8</v>
      </c>
    </row>
    <row r="6" customFormat="false" ht="15" hidden="false" customHeight="false" outlineLevel="0" collapsed="false">
      <c r="A6" s="4" t="s">
        <v>10</v>
      </c>
      <c r="B6" s="5" t="n">
        <v>7.8</v>
      </c>
      <c r="C6" s="6" t="n">
        <v>280000</v>
      </c>
      <c r="D6" s="6" t="n">
        <v>80000</v>
      </c>
      <c r="E6" s="7" t="s">
        <v>11</v>
      </c>
    </row>
    <row r="7" customFormat="false" ht="15" hidden="false" customHeight="false" outlineLevel="0" collapsed="false">
      <c r="A7" s="8" t="s">
        <v>12</v>
      </c>
      <c r="B7" s="9" t="n">
        <v>1.2</v>
      </c>
      <c r="C7" s="10" t="n">
        <v>320000</v>
      </c>
      <c r="D7" s="10" t="n">
        <v>400000</v>
      </c>
      <c r="E7" s="11" t="s">
        <v>13</v>
      </c>
    </row>
    <row r="9" customFormat="false" ht="15" hidden="false" customHeight="false" outlineLevel="0" collapsed="false">
      <c r="A9" s="12" t="s">
        <v>14</v>
      </c>
      <c r="B9" s="12"/>
      <c r="C9" s="12"/>
      <c r="D9" s="12"/>
      <c r="E9" s="12"/>
    </row>
  </sheetData>
  <mergeCells count="3">
    <mergeCell ref="A1:E1"/>
    <mergeCell ref="A2:E2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39.75" hidden="false" customHeight="true" outlineLevel="0" collapsed="false">
      <c r="A1" s="1" t="s">
        <v>15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16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17</v>
      </c>
      <c r="B3" s="3" t="s">
        <v>2</v>
      </c>
      <c r="C3" s="3" t="s">
        <v>18</v>
      </c>
      <c r="D3" s="3" t="s">
        <v>19</v>
      </c>
      <c r="E3" s="3" t="s">
        <v>20</v>
      </c>
      <c r="F3" s="3" t="s">
        <v>21</v>
      </c>
    </row>
    <row r="4" customFormat="false" ht="15" hidden="false" customHeight="false" outlineLevel="0" collapsed="false">
      <c r="A4" s="4" t="s">
        <v>22</v>
      </c>
      <c r="B4" s="13" t="s">
        <v>7</v>
      </c>
      <c r="C4" s="5" t="n">
        <v>3</v>
      </c>
      <c r="D4" s="6" t="n">
        <v>400000</v>
      </c>
      <c r="E4" s="6" t="n">
        <v>500000</v>
      </c>
      <c r="F4" s="13" t="n">
        <v>4</v>
      </c>
    </row>
    <row r="5" customFormat="false" ht="15" hidden="false" customHeight="false" outlineLevel="0" collapsed="false">
      <c r="A5" s="8" t="s">
        <v>23</v>
      </c>
      <c r="B5" s="14" t="s">
        <v>9</v>
      </c>
      <c r="C5" s="9" t="n">
        <v>5</v>
      </c>
      <c r="D5" s="10" t="n">
        <v>700000</v>
      </c>
      <c r="E5" s="10" t="n">
        <v>900000</v>
      </c>
      <c r="F5" s="14" t="n">
        <v>5</v>
      </c>
    </row>
    <row r="6" customFormat="false" ht="15" hidden="false" customHeight="false" outlineLevel="0" collapsed="false">
      <c r="A6" s="4" t="s">
        <v>24</v>
      </c>
      <c r="B6" s="13" t="s">
        <v>10</v>
      </c>
      <c r="C6" s="5" t="n">
        <v>2</v>
      </c>
      <c r="D6" s="6" t="n">
        <v>200000</v>
      </c>
      <c r="E6" s="6" t="n">
        <v>300000</v>
      </c>
      <c r="F6" s="13" t="n">
        <v>9</v>
      </c>
    </row>
    <row r="7" customFormat="false" ht="15" hidden="false" customHeight="false" outlineLevel="0" collapsed="false">
      <c r="A7" s="8" t="s">
        <v>25</v>
      </c>
      <c r="B7" s="14" t="s">
        <v>12</v>
      </c>
      <c r="C7" s="9" t="n">
        <v>4</v>
      </c>
      <c r="D7" s="10" t="n">
        <v>350000</v>
      </c>
      <c r="E7" s="10" t="n">
        <v>600000</v>
      </c>
      <c r="F7" s="14" t="n">
        <v>4</v>
      </c>
    </row>
    <row r="8" customFormat="false" ht="15" hidden="false" customHeight="false" outlineLevel="0" collapsed="false">
      <c r="A8" s="4" t="s">
        <v>26</v>
      </c>
      <c r="B8" s="13" t="s">
        <v>7</v>
      </c>
      <c r="C8" s="5" t="n">
        <v>1</v>
      </c>
      <c r="D8" s="6" t="n">
        <v>150000</v>
      </c>
      <c r="E8" s="6" t="n">
        <v>200000</v>
      </c>
      <c r="F8" s="13" t="n">
        <v>4</v>
      </c>
    </row>
    <row r="9" customFormat="false" ht="15" hidden="false" customHeight="false" outlineLevel="0" collapsed="false">
      <c r="A9" s="8" t="s">
        <v>27</v>
      </c>
      <c r="B9" s="14" t="s">
        <v>9</v>
      </c>
      <c r="C9" s="9" t="n">
        <v>8</v>
      </c>
      <c r="D9" s="10" t="n">
        <v>1200000</v>
      </c>
      <c r="E9" s="10" t="n">
        <v>1500000</v>
      </c>
      <c r="F9" s="14" t="n">
        <v>5</v>
      </c>
    </row>
    <row r="10" customFormat="false" ht="15" hidden="false" customHeight="false" outlineLevel="0" collapsed="false">
      <c r="A10" s="4" t="s">
        <v>28</v>
      </c>
      <c r="B10" s="13" t="s">
        <v>10</v>
      </c>
      <c r="C10" s="5" t="n">
        <v>6</v>
      </c>
      <c r="D10" s="6" t="n">
        <v>900000</v>
      </c>
      <c r="E10" s="6" t="n">
        <v>700000</v>
      </c>
      <c r="F10" s="13" t="n">
        <v>9</v>
      </c>
    </row>
    <row r="11" customFormat="false" ht="15" hidden="false" customHeight="false" outlineLevel="0" collapsed="false">
      <c r="A11" s="8" t="s">
        <v>29</v>
      </c>
      <c r="B11" s="14" t="s">
        <v>12</v>
      </c>
      <c r="C11" s="9" t="n">
        <v>2</v>
      </c>
      <c r="D11" s="10" t="n">
        <v>200000</v>
      </c>
      <c r="E11" s="10" t="n">
        <v>400000</v>
      </c>
      <c r="F11" s="14" t="n">
        <v>4</v>
      </c>
    </row>
    <row r="12" customFormat="false" ht="15" hidden="false" customHeight="false" outlineLevel="0" collapsed="false">
      <c r="A12" s="4" t="s">
        <v>30</v>
      </c>
      <c r="B12" s="13" t="s">
        <v>7</v>
      </c>
      <c r="C12" s="5" t="n">
        <v>10</v>
      </c>
      <c r="D12" s="6" t="n">
        <v>1200000</v>
      </c>
      <c r="E12" s="6" t="n">
        <v>2000000</v>
      </c>
      <c r="F12" s="13" t="n">
        <v>4</v>
      </c>
    </row>
    <row r="13" customFormat="false" ht="15" hidden="false" customHeight="false" outlineLevel="0" collapsed="false">
      <c r="A13" s="8" t="s">
        <v>31</v>
      </c>
      <c r="B13" s="14" t="s">
        <v>9</v>
      </c>
      <c r="C13" s="9" t="n">
        <v>3</v>
      </c>
      <c r="D13" s="10" t="n">
        <v>400000</v>
      </c>
      <c r="E13" s="10" t="n">
        <v>350000</v>
      </c>
      <c r="F13" s="14" t="n">
        <v>5</v>
      </c>
    </row>
    <row r="14" customFormat="false" ht="15" hidden="false" customHeight="false" outlineLevel="0" collapsed="false">
      <c r="A14" s="4" t="s">
        <v>32</v>
      </c>
      <c r="B14" s="13" t="s">
        <v>10</v>
      </c>
      <c r="C14" s="5" t="n">
        <v>7</v>
      </c>
      <c r="D14" s="6" t="n">
        <v>560000</v>
      </c>
      <c r="E14" s="6" t="n">
        <v>800000</v>
      </c>
      <c r="F14" s="13" t="n">
        <v>9</v>
      </c>
    </row>
    <row r="15" customFormat="false" ht="15" hidden="false" customHeight="false" outlineLevel="0" collapsed="false">
      <c r="A15" s="8" t="s">
        <v>33</v>
      </c>
      <c r="B15" s="14" t="s">
        <v>7</v>
      </c>
      <c r="C15" s="9" t="n">
        <v>2</v>
      </c>
      <c r="D15" s="10" t="n">
        <v>250000</v>
      </c>
      <c r="E15" s="10" t="n">
        <v>300000</v>
      </c>
      <c r="F15" s="14" t="n">
        <v>4</v>
      </c>
    </row>
    <row r="16" customFormat="false" ht="15" hidden="false" customHeight="false" outlineLevel="0" collapsed="false">
      <c r="A16" s="4" t="s">
        <v>34</v>
      </c>
      <c r="B16" s="13" t="s">
        <v>12</v>
      </c>
      <c r="C16" s="5" t="n">
        <v>5</v>
      </c>
      <c r="D16" s="6" t="n">
        <v>600000</v>
      </c>
      <c r="E16" s="6" t="n">
        <v>900000</v>
      </c>
      <c r="F16" s="13" t="n">
        <v>4</v>
      </c>
    </row>
    <row r="17" customFormat="false" ht="15" hidden="false" customHeight="false" outlineLevel="0" collapsed="false">
      <c r="A17" s="8" t="s">
        <v>35</v>
      </c>
      <c r="B17" s="14" t="s">
        <v>9</v>
      </c>
      <c r="C17" s="9" t="n">
        <v>4</v>
      </c>
      <c r="D17" s="10" t="n">
        <v>700000</v>
      </c>
      <c r="E17" s="10" t="n">
        <v>500000</v>
      </c>
      <c r="F17" s="14" t="n">
        <v>5</v>
      </c>
    </row>
    <row r="18" customFormat="false" ht="15" hidden="false" customHeight="false" outlineLevel="0" collapsed="false">
      <c r="A18" s="4" t="s">
        <v>36</v>
      </c>
      <c r="B18" s="13" t="s">
        <v>10</v>
      </c>
      <c r="C18" s="5" t="n">
        <v>9</v>
      </c>
      <c r="D18" s="6" t="n">
        <v>1100000</v>
      </c>
      <c r="E18" s="6" t="n">
        <v>1200000</v>
      </c>
      <c r="F18" s="13" t="n">
        <v>9</v>
      </c>
    </row>
    <row r="20" customFormat="false" ht="15" hidden="false" customHeight="false" outlineLevel="0" collapsed="false">
      <c r="A20" s="12" t="s">
        <v>37</v>
      </c>
      <c r="B20" s="12"/>
      <c r="C20" s="12"/>
      <c r="D20" s="12"/>
      <c r="E20" s="12"/>
      <c r="F20" s="12"/>
    </row>
  </sheetData>
  <mergeCells count="3">
    <mergeCell ref="A1:F1"/>
    <mergeCell ref="A2:F2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9.75" hidden="false" customHeight="true" outlineLevel="0" collapsed="false">
      <c r="A1" s="1" t="s">
        <v>38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39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12" t="s">
        <v>40</v>
      </c>
      <c r="B3" s="12"/>
      <c r="C3" s="12"/>
      <c r="D3" s="12"/>
      <c r="E3" s="12"/>
      <c r="F3" s="12"/>
    </row>
    <row r="4" customFormat="false" ht="30" hidden="false" customHeight="true" outlineLevel="0" collapsed="false">
      <c r="A4" s="3" t="s">
        <v>17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</row>
    <row r="5" customFormat="false" ht="15" hidden="false" customHeight="false" outlineLevel="0" collapsed="false">
      <c r="A5" s="15" t="str">
        <f aca="false">'Farmer Data'!A4</f>
        <v>Emeka Obi</v>
      </c>
      <c r="B5" s="16" t="n">
        <f aca="false">IFERROR('Farmer Data'!D4/(VLOOKUP('Farmer Data'!B4,'Crop Reference Table'!A:C,3,0)*'Farmer Data'!C4),0)</f>
        <v>0.23767082590612</v>
      </c>
      <c r="C5" s="16" t="n">
        <f aca="false">IFERROR('Farmer Data'!C4*VLOOKUP('Farmer Data'!B4,'Crop Reference Table'!A:B,2,0)*MIN(B5,1),0)</f>
        <v>1.7825311942959</v>
      </c>
      <c r="D5" s="17" t="n">
        <f aca="false">IFERROR(C5*VLOOKUP('Farmer Data'!B4,'Crop Reference Table'!A:D,4,0),0)</f>
        <v>213903.743315508</v>
      </c>
      <c r="E5" s="16" t="n">
        <f aca="false">IFERROR('Farmer Data'!E4/D5,0)</f>
        <v>2.3375</v>
      </c>
      <c r="F5" s="18" t="str">
        <f aca="false">IFERROR(IF(E5&lt;0.5,"✅ Approve",IF(E5&lt;=0.75,"🟡 Conditional","❌ Reject")),"N/A")</f>
        <v>❌ Reject</v>
      </c>
    </row>
    <row r="6" customFormat="false" ht="15" hidden="false" customHeight="false" outlineLevel="0" collapsed="false">
      <c r="A6" s="19" t="str">
        <f aca="false">'Farmer Data'!A5</f>
        <v>Amina Bello</v>
      </c>
      <c r="B6" s="20" t="n">
        <f aca="false">IFERROR('Farmer Data'!D5/(VLOOKUP('Farmer Data'!B5,'Crop Reference Table'!A:C,3,0)*'Farmer Data'!C5),0)</f>
        <v>0.240137221269297</v>
      </c>
      <c r="C6" s="20" t="n">
        <f aca="false">IFERROR('Farmer Data'!C5*VLOOKUP('Farmer Data'!B5,'Crop Reference Table'!A:B,2,0)*MIN(B6,1),0)</f>
        <v>2.28130360205832</v>
      </c>
      <c r="D6" s="21" t="n">
        <f aca="false">IFERROR(C6*VLOOKUP('Farmer Data'!B5,'Crop Reference Table'!A:D,4,0),0)</f>
        <v>1482847.34133791</v>
      </c>
      <c r="E6" s="20" t="n">
        <f aca="false">IFERROR('Farmer Data'!E5/D6,0)</f>
        <v>0.60694042799306</v>
      </c>
      <c r="F6" s="18" t="str">
        <f aca="false">IFERROR(IF(E6&lt;0.5,"✅ Approve",IF(E6&lt;=0.75,"🟡 Conditional","❌ Reject")),"N/A")</f>
        <v>🟡 Conditional</v>
      </c>
    </row>
    <row r="7" customFormat="false" ht="15" hidden="false" customHeight="false" outlineLevel="0" collapsed="false">
      <c r="A7" s="15" t="str">
        <f aca="false">'Farmer Data'!A6</f>
        <v>Tunde Adeyemi</v>
      </c>
      <c r="B7" s="16" t="n">
        <f aca="false">IFERROR('Farmer Data'!D6/(VLOOKUP('Farmer Data'!B6,'Crop Reference Table'!A:C,3,0)*'Farmer Data'!C6),0)</f>
        <v>0.357142857142857</v>
      </c>
      <c r="C7" s="16" t="n">
        <f aca="false">IFERROR('Farmer Data'!C6*VLOOKUP('Farmer Data'!B6,'Crop Reference Table'!A:B,2,0)*MIN(B7,1),0)</f>
        <v>5.57142857142857</v>
      </c>
      <c r="D7" s="17" t="n">
        <f aca="false">IFERROR(C7*VLOOKUP('Farmer Data'!B6,'Crop Reference Table'!A:D,4,0),0)</f>
        <v>445714.285714286</v>
      </c>
      <c r="E7" s="16" t="n">
        <f aca="false">IFERROR('Farmer Data'!E6/D7,0)</f>
        <v>0.673076923076923</v>
      </c>
      <c r="F7" s="18" t="str">
        <f aca="false">IFERROR(IF(E7&lt;0.5,"✅ Approve",IF(E7&lt;=0.75,"🟡 Conditional","❌ Reject")),"N/A")</f>
        <v>🟡 Conditional</v>
      </c>
    </row>
    <row r="8" customFormat="false" ht="15" hidden="false" customHeight="false" outlineLevel="0" collapsed="false">
      <c r="A8" s="19" t="str">
        <f aca="false">'Farmer Data'!A7</f>
        <v>Ngozi Eze</v>
      </c>
      <c r="B8" s="20" t="n">
        <f aca="false">IFERROR('Farmer Data'!D7/(VLOOKUP('Farmer Data'!B7,'Crop Reference Table'!A:C,3,0)*'Farmer Data'!C7),0)</f>
        <v>0.2734375</v>
      </c>
      <c r="C8" s="20" t="n">
        <f aca="false">IFERROR('Farmer Data'!C7*VLOOKUP('Farmer Data'!B7,'Crop Reference Table'!A:B,2,0)*MIN(B8,1),0)</f>
        <v>1.3125</v>
      </c>
      <c r="D8" s="21" t="n">
        <f aca="false">IFERROR(C8*VLOOKUP('Farmer Data'!B7,'Crop Reference Table'!A:D,4,0),0)</f>
        <v>525000</v>
      </c>
      <c r="E8" s="20" t="n">
        <f aca="false">IFERROR('Farmer Data'!E7/D8,0)</f>
        <v>1.14285714285714</v>
      </c>
      <c r="F8" s="22" t="str">
        <f aca="false">IFERROR(IF(E8&lt;0.5,"✅ Approve",IF(E8&lt;=0.75,"🟡 Conditional","❌ Reject")),"N/A")</f>
        <v>❌ Reject</v>
      </c>
    </row>
    <row r="9" customFormat="false" ht="15" hidden="false" customHeight="false" outlineLevel="0" collapsed="false">
      <c r="A9" s="15" t="str">
        <f aca="false">'Farmer Data'!A8</f>
        <v>Chukwu Nwosu</v>
      </c>
      <c r="B9" s="16" t="n">
        <f aca="false">IFERROR('Farmer Data'!D8/(VLOOKUP('Farmer Data'!B8,'Crop Reference Table'!A:C,3,0)*'Farmer Data'!C8),0)</f>
        <v>0.267379679144385</v>
      </c>
      <c r="C9" s="16" t="n">
        <f aca="false">IFERROR('Farmer Data'!C8*VLOOKUP('Farmer Data'!B8,'Crop Reference Table'!A:B,2,0)*MIN(B9,1),0)</f>
        <v>0.668449197860963</v>
      </c>
      <c r="D9" s="17" t="n">
        <f aca="false">IFERROR(C9*VLOOKUP('Farmer Data'!B8,'Crop Reference Table'!A:D,4,0),0)</f>
        <v>80213.9037433155</v>
      </c>
      <c r="E9" s="16" t="n">
        <f aca="false">IFERROR('Farmer Data'!E8/D9,0)</f>
        <v>2.49333333333333</v>
      </c>
      <c r="F9" s="18" t="str">
        <f aca="false">IFERROR(IF(E9&lt;0.5,"✅ Approve",IF(E9&lt;=0.75,"🟡 Conditional","❌ Reject")),"N/A")</f>
        <v>❌ Reject</v>
      </c>
    </row>
    <row r="10" customFormat="false" ht="15" hidden="false" customHeight="false" outlineLevel="0" collapsed="false">
      <c r="A10" s="19" t="str">
        <f aca="false">'Farmer Data'!A9</f>
        <v>Fatima Usman</v>
      </c>
      <c r="B10" s="20" t="n">
        <f aca="false">IFERROR('Farmer Data'!D9/(VLOOKUP('Farmer Data'!B9,'Crop Reference Table'!A:C,3,0)*'Farmer Data'!C9),0)</f>
        <v>0.257289879931389</v>
      </c>
      <c r="C10" s="20" t="n">
        <f aca="false">IFERROR('Farmer Data'!C9*VLOOKUP('Farmer Data'!B9,'Crop Reference Table'!A:B,2,0)*MIN(B10,1),0)</f>
        <v>3.91080617495712</v>
      </c>
      <c r="D10" s="21" t="n">
        <f aca="false">IFERROR(C10*VLOOKUP('Farmer Data'!B9,'Crop Reference Table'!A:D,4,0),0)</f>
        <v>2542024.01372213</v>
      </c>
      <c r="E10" s="20" t="n">
        <f aca="false">IFERROR('Farmer Data'!E9/D10,0)</f>
        <v>0.590080971659919</v>
      </c>
      <c r="F10" s="18" t="str">
        <f aca="false">IFERROR(IF(E10&lt;0.5,"✅ Approve",IF(E10&lt;=0.75,"🟡 Conditional","❌ Reject")),"N/A")</f>
        <v>🟡 Conditional</v>
      </c>
    </row>
    <row r="11" customFormat="false" ht="15" hidden="false" customHeight="false" outlineLevel="0" collapsed="false">
      <c r="A11" s="15" t="str">
        <f aca="false">'Farmer Data'!A10</f>
        <v>Segun Adebayo</v>
      </c>
      <c r="B11" s="16" t="n">
        <f aca="false">IFERROR('Farmer Data'!D10/(VLOOKUP('Farmer Data'!B10,'Crop Reference Table'!A:C,3,0)*'Farmer Data'!C10),0)</f>
        <v>0.535714285714286</v>
      </c>
      <c r="C11" s="16" t="n">
        <f aca="false">IFERROR('Farmer Data'!C10*VLOOKUP('Farmer Data'!B10,'Crop Reference Table'!A:B,2,0)*MIN(B11,1),0)</f>
        <v>25.0714285714286</v>
      </c>
      <c r="D11" s="17" t="n">
        <f aca="false">IFERROR(C11*VLOOKUP('Farmer Data'!B10,'Crop Reference Table'!A:D,4,0),0)</f>
        <v>2005714.28571429</v>
      </c>
      <c r="E11" s="16" t="n">
        <f aca="false">IFERROR('Farmer Data'!E10/D11,0)</f>
        <v>0.349002849002849</v>
      </c>
      <c r="F11" s="18" t="str">
        <f aca="false">IFERROR(IF(E11&lt;0.5,"✅ Approve",IF(E11&lt;=0.75,"🟡 Conditional","❌ Reject")),"N/A")</f>
        <v>✅ Approve</v>
      </c>
    </row>
    <row r="12" customFormat="false" ht="15" hidden="false" customHeight="false" outlineLevel="0" collapsed="false">
      <c r="A12" s="19" t="str">
        <f aca="false">'Farmer Data'!A11</f>
        <v>Binta Garba</v>
      </c>
      <c r="B12" s="20" t="n">
        <f aca="false">IFERROR('Farmer Data'!D11/(VLOOKUP('Farmer Data'!B11,'Crop Reference Table'!A:C,3,0)*'Farmer Data'!C11),0)</f>
        <v>0.3125</v>
      </c>
      <c r="C12" s="20" t="n">
        <f aca="false">IFERROR('Farmer Data'!C11*VLOOKUP('Farmer Data'!B11,'Crop Reference Table'!A:B,2,0)*MIN(B12,1),0)</f>
        <v>0.75</v>
      </c>
      <c r="D12" s="21" t="n">
        <f aca="false">IFERROR(C12*VLOOKUP('Farmer Data'!B11,'Crop Reference Table'!A:D,4,0),0)</f>
        <v>300000</v>
      </c>
      <c r="E12" s="20" t="n">
        <f aca="false">IFERROR('Farmer Data'!E11/D12,0)</f>
        <v>1.33333333333333</v>
      </c>
      <c r="F12" s="22" t="str">
        <f aca="false">IFERROR(IF(E12&lt;0.5,"✅ Approve",IF(E12&lt;=0.75,"🟡 Conditional","❌ Reject")),"N/A")</f>
        <v>❌ Reject</v>
      </c>
    </row>
    <row r="13" customFormat="false" ht="15" hidden="false" customHeight="false" outlineLevel="0" collapsed="false">
      <c r="A13" s="15" t="str">
        <f aca="false">'Farmer Data'!A12</f>
        <v>Olu Martins</v>
      </c>
      <c r="B13" s="16" t="n">
        <f aca="false">IFERROR('Farmer Data'!D12/(VLOOKUP('Farmer Data'!B12,'Crop Reference Table'!A:C,3,0)*'Farmer Data'!C12),0)</f>
        <v>0.213903743315508</v>
      </c>
      <c r="C13" s="16" t="n">
        <f aca="false">IFERROR('Farmer Data'!C12*VLOOKUP('Farmer Data'!B12,'Crop Reference Table'!A:B,2,0)*MIN(B13,1),0)</f>
        <v>5.3475935828877</v>
      </c>
      <c r="D13" s="17" t="n">
        <f aca="false">IFERROR(C13*VLOOKUP('Farmer Data'!B12,'Crop Reference Table'!A:D,4,0),0)</f>
        <v>641711.229946524</v>
      </c>
      <c r="E13" s="16" t="n">
        <f aca="false">IFERROR('Farmer Data'!E12/D13,0)</f>
        <v>3.11666666666667</v>
      </c>
      <c r="F13" s="22" t="str">
        <f aca="false">IFERROR(IF(E13&lt;0.5,"✅ Approve",IF(E13&lt;=0.75,"🟡 Conditional","❌ Reject")),"N/A")</f>
        <v>❌ Reject</v>
      </c>
    </row>
    <row r="14" customFormat="false" ht="15" hidden="false" customHeight="false" outlineLevel="0" collapsed="false">
      <c r="A14" s="19" t="str">
        <f aca="false">'Farmer Data'!A13</f>
        <v>Chioma Okafor</v>
      </c>
      <c r="B14" s="20" t="n">
        <f aca="false">IFERROR('Farmer Data'!D13/(VLOOKUP('Farmer Data'!B13,'Crop Reference Table'!A:C,3,0)*'Farmer Data'!C13),0)</f>
        <v>0.228702115494568</v>
      </c>
      <c r="C14" s="20" t="n">
        <f aca="false">IFERROR('Farmer Data'!C13*VLOOKUP('Farmer Data'!B13,'Crop Reference Table'!A:B,2,0)*MIN(B14,1),0)</f>
        <v>1.30360205831904</v>
      </c>
      <c r="D14" s="21" t="n">
        <f aca="false">IFERROR(C14*VLOOKUP('Farmer Data'!B13,'Crop Reference Table'!A:D,4,0),0)</f>
        <v>847341.337907376</v>
      </c>
      <c r="E14" s="20" t="n">
        <f aca="false">IFERROR('Farmer Data'!E13/D14,0)</f>
        <v>0.413056680161943</v>
      </c>
      <c r="F14" s="18" t="str">
        <f aca="false">IFERROR(IF(E14&lt;0.5,"✅ Approve",IF(E14&lt;=0.75,"🟡 Conditional","❌ Reject")),"N/A")</f>
        <v>✅ Approve</v>
      </c>
    </row>
    <row r="15" customFormat="false" ht="15" hidden="false" customHeight="false" outlineLevel="0" collapsed="false">
      <c r="A15" s="15" t="str">
        <f aca="false">'Farmer Data'!A14</f>
        <v>Musa Danladi</v>
      </c>
      <c r="B15" s="16" t="n">
        <f aca="false">IFERROR('Farmer Data'!D14/(VLOOKUP('Farmer Data'!B14,'Crop Reference Table'!A:C,3,0)*'Farmer Data'!C14),0)</f>
        <v>0.285714285714286</v>
      </c>
      <c r="C15" s="16" t="n">
        <f aca="false">IFERROR('Farmer Data'!C14*VLOOKUP('Farmer Data'!B14,'Crop Reference Table'!A:B,2,0)*MIN(B15,1),0)</f>
        <v>15.6</v>
      </c>
      <c r="D15" s="17" t="n">
        <f aca="false">IFERROR(C15*VLOOKUP('Farmer Data'!B14,'Crop Reference Table'!A:D,4,0),0)</f>
        <v>1248000</v>
      </c>
      <c r="E15" s="16" t="n">
        <f aca="false">IFERROR('Farmer Data'!E14/D15,0)</f>
        <v>0.641025641025641</v>
      </c>
      <c r="F15" s="18" t="str">
        <f aca="false">IFERROR(IF(E15&lt;0.5,"✅ Approve",IF(E15&lt;=0.75,"🟡 Conditional","❌ Reject")),"N/A")</f>
        <v>🟡 Conditional</v>
      </c>
    </row>
    <row r="16" customFormat="false" ht="15" hidden="false" customHeight="false" outlineLevel="0" collapsed="false">
      <c r="A16" s="19" t="str">
        <f aca="false">'Farmer Data'!A15</f>
        <v>Yetunde Lawal</v>
      </c>
      <c r="B16" s="20" t="n">
        <f aca="false">IFERROR('Farmer Data'!D15/(VLOOKUP('Farmer Data'!B15,'Crop Reference Table'!A:C,3,0)*'Farmer Data'!C15),0)</f>
        <v>0.222816399286988</v>
      </c>
      <c r="C16" s="20" t="n">
        <f aca="false">IFERROR('Farmer Data'!C15*VLOOKUP('Farmer Data'!B15,'Crop Reference Table'!A:B,2,0)*MIN(B16,1),0)</f>
        <v>1.11408199643494</v>
      </c>
      <c r="D16" s="21" t="n">
        <f aca="false">IFERROR(C16*VLOOKUP('Farmer Data'!B15,'Crop Reference Table'!A:D,4,0),0)</f>
        <v>133689.839572193</v>
      </c>
      <c r="E16" s="20" t="n">
        <f aca="false">IFERROR('Farmer Data'!E15/D16,0)</f>
        <v>2.244</v>
      </c>
      <c r="F16" s="18" t="str">
        <f aca="false">IFERROR(IF(E16&lt;0.5,"✅ Approve",IF(E16&lt;=0.75,"🟡 Conditional","❌ Reject")),"N/A")</f>
        <v>❌ Reject</v>
      </c>
    </row>
    <row r="17" customFormat="false" ht="15" hidden="false" customHeight="false" outlineLevel="0" collapsed="false">
      <c r="A17" s="15" t="str">
        <f aca="false">'Farmer Data'!A16</f>
        <v>Ibrahim Sule</v>
      </c>
      <c r="B17" s="16" t="n">
        <f aca="false">IFERROR('Farmer Data'!D16/(VLOOKUP('Farmer Data'!B16,'Crop Reference Table'!A:C,3,0)*'Farmer Data'!C16),0)</f>
        <v>0.375</v>
      </c>
      <c r="C17" s="16" t="n">
        <f aca="false">IFERROR('Farmer Data'!C16*VLOOKUP('Farmer Data'!B16,'Crop Reference Table'!A:B,2,0)*MIN(B17,1),0)</f>
        <v>2.25</v>
      </c>
      <c r="D17" s="17" t="n">
        <f aca="false">IFERROR(C17*VLOOKUP('Farmer Data'!B16,'Crop Reference Table'!A:D,4,0),0)</f>
        <v>900000</v>
      </c>
      <c r="E17" s="16" t="n">
        <f aca="false">IFERROR('Farmer Data'!E16/D17,0)</f>
        <v>1</v>
      </c>
      <c r="F17" s="22" t="str">
        <f aca="false">IFERROR(IF(E17&lt;0.5,"✅ Approve",IF(E17&lt;=0.75,"🟡 Conditional","❌ Reject")),"N/A")</f>
        <v>❌ Reject</v>
      </c>
    </row>
    <row r="18" customFormat="false" ht="15" hidden="false" customHeight="false" outlineLevel="0" collapsed="false">
      <c r="A18" s="19" t="str">
        <f aca="false">'Farmer Data'!A17</f>
        <v>Grace Okoro</v>
      </c>
      <c r="B18" s="20" t="n">
        <f aca="false">IFERROR('Farmer Data'!D17/(VLOOKUP('Farmer Data'!B17,'Crop Reference Table'!A:C,3,0)*'Farmer Data'!C17),0)</f>
        <v>0.300171526586621</v>
      </c>
      <c r="C18" s="20" t="n">
        <f aca="false">IFERROR('Farmer Data'!C17*VLOOKUP('Farmer Data'!B17,'Crop Reference Table'!A:B,2,0)*MIN(B18,1),0)</f>
        <v>2.28130360205832</v>
      </c>
      <c r="D18" s="21" t="n">
        <f aca="false">IFERROR(C18*VLOOKUP('Farmer Data'!B17,'Crop Reference Table'!A:D,4,0),0)</f>
        <v>1482847.34133791</v>
      </c>
      <c r="E18" s="20" t="n">
        <f aca="false">IFERROR('Farmer Data'!E17/D18,0)</f>
        <v>0.337189126662811</v>
      </c>
      <c r="F18" s="18" t="str">
        <f aca="false">IFERROR(IF(E18&lt;0.5,"✅ Approve",IF(E18&lt;=0.75,"🟡 Conditional","❌ Reject")),"N/A")</f>
        <v>✅ Approve</v>
      </c>
    </row>
    <row r="19" customFormat="false" ht="15" hidden="false" customHeight="false" outlineLevel="0" collapsed="false">
      <c r="A19" s="15" t="str">
        <f aca="false">'Farmer Data'!A18</f>
        <v>Dele Ogunleye</v>
      </c>
      <c r="B19" s="16" t="n">
        <f aca="false">IFERROR('Farmer Data'!D18/(VLOOKUP('Farmer Data'!B18,'Crop Reference Table'!A:C,3,0)*'Farmer Data'!C18),0)</f>
        <v>0.436507936507937</v>
      </c>
      <c r="C19" s="16" t="n">
        <f aca="false">IFERROR('Farmer Data'!C18*VLOOKUP('Farmer Data'!B18,'Crop Reference Table'!A:B,2,0)*MIN(B19,1),0)</f>
        <v>30.6428571428571</v>
      </c>
      <c r="D19" s="17" t="n">
        <f aca="false">IFERROR(C19*VLOOKUP('Farmer Data'!B18,'Crop Reference Table'!A:D,4,0),0)</f>
        <v>2451428.57142857</v>
      </c>
      <c r="E19" s="16" t="n">
        <f aca="false">IFERROR('Farmer Data'!E18/D19,0)</f>
        <v>0.489510489510489</v>
      </c>
      <c r="F19" s="18" t="str">
        <f aca="false">IFERROR(IF(E19&lt;0.5,"✅ Approve",IF(E19&lt;=0.75,"🟡 Conditional","❌ Reject")),"N/A")</f>
        <v>✅ Approve</v>
      </c>
    </row>
    <row r="21" customFormat="false" ht="15" hidden="false" customHeight="false" outlineLevel="0" collapsed="false">
      <c r="A21" s="23" t="s">
        <v>46</v>
      </c>
      <c r="B21" s="23"/>
      <c r="C21" s="23"/>
      <c r="D21" s="23"/>
      <c r="E21" s="23"/>
      <c r="F21" s="23"/>
    </row>
    <row r="22" customFormat="false" ht="15" hidden="false" customHeight="true" outlineLevel="0" collapsed="false">
      <c r="A22" s="24" t="s">
        <v>47</v>
      </c>
      <c r="B22" s="8" t="s">
        <v>48</v>
      </c>
      <c r="C22" s="8"/>
      <c r="D22" s="25" t="s">
        <v>49</v>
      </c>
      <c r="E22" s="25"/>
      <c r="F22" s="25"/>
    </row>
    <row r="23" customFormat="false" ht="15" hidden="false" customHeight="true" outlineLevel="0" collapsed="false">
      <c r="A23" s="24" t="s">
        <v>47</v>
      </c>
      <c r="B23" s="8" t="s">
        <v>50</v>
      </c>
      <c r="C23" s="8"/>
      <c r="D23" s="26" t="s">
        <v>51</v>
      </c>
      <c r="E23" s="26"/>
      <c r="F23" s="26"/>
    </row>
    <row r="24" customFormat="false" ht="15" hidden="false" customHeight="true" outlineLevel="0" collapsed="false">
      <c r="A24" s="24" t="s">
        <v>47</v>
      </c>
      <c r="B24" s="8" t="s">
        <v>52</v>
      </c>
      <c r="C24" s="8"/>
      <c r="D24" s="27" t="s">
        <v>53</v>
      </c>
      <c r="E24" s="27"/>
      <c r="F24" s="27"/>
    </row>
  </sheetData>
  <mergeCells count="10">
    <mergeCell ref="A1:F1"/>
    <mergeCell ref="A2:F2"/>
    <mergeCell ref="A3:F3"/>
    <mergeCell ref="A21:F21"/>
    <mergeCell ref="B22:C22"/>
    <mergeCell ref="D22:F22"/>
    <mergeCell ref="B23:C23"/>
    <mergeCell ref="D23:F23"/>
    <mergeCell ref="B24:C24"/>
    <mergeCell ref="D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20"/>
  </cols>
  <sheetData>
    <row r="1" customFormat="false" ht="19.7" hidden="false" customHeight="false" outlineLevel="0" collapsed="false">
      <c r="A1" s="28" t="s">
        <v>54</v>
      </c>
      <c r="B1" s="28"/>
      <c r="C1" s="28"/>
      <c r="D1" s="28"/>
      <c r="E1" s="28"/>
      <c r="F1" s="28"/>
      <c r="G1" s="28"/>
      <c r="H1" s="28"/>
    </row>
    <row r="2" customFormat="false" ht="15" hidden="false" customHeight="false" outlineLevel="0" collapsed="false">
      <c r="A2" s="29" t="s">
        <v>55</v>
      </c>
      <c r="B2" s="29"/>
      <c r="C2" s="29"/>
      <c r="D2" s="29"/>
      <c r="E2" s="29"/>
      <c r="F2" s="29"/>
      <c r="G2" s="29"/>
      <c r="H2" s="29"/>
    </row>
    <row r="4" customFormat="false" ht="13.5" hidden="false" customHeight="true" outlineLevel="0" collapsed="false"/>
    <row r="5" customFormat="false" ht="39.75" hidden="false" customHeight="true" outlineLevel="0" collapsed="false">
      <c r="B5" s="30" t="n">
        <f aca="false">COUNTA(Calculations!A5:A19)</f>
        <v>15</v>
      </c>
      <c r="C5" s="31"/>
      <c r="D5" s="32" t="n">
        <f aca="false">COUNTIF(Calculations!F5:F19,"*Approve*")</f>
        <v>4</v>
      </c>
      <c r="E5" s="31"/>
      <c r="F5" s="33" t="n">
        <f aca="false">COUNTIF(Calculations!F5:F19,"*Conditional*")</f>
        <v>4</v>
      </c>
      <c r="G5" s="31"/>
      <c r="H5" s="34" t="n">
        <f aca="false">COUNTIF(Calculations!F5:F19,"*Reject*")</f>
        <v>7</v>
      </c>
    </row>
    <row r="6" customFormat="false" ht="19.5" hidden="false" customHeight="true" outlineLevel="0" collapsed="false">
      <c r="B6" s="35" t="s">
        <v>56</v>
      </c>
      <c r="C6" s="31"/>
      <c r="D6" s="18" t="s">
        <v>57</v>
      </c>
      <c r="E6" s="31"/>
      <c r="F6" s="36" t="s">
        <v>58</v>
      </c>
      <c r="G6" s="31"/>
      <c r="H6" s="22" t="s">
        <v>59</v>
      </c>
    </row>
    <row r="7" customFormat="false" ht="13.5" hidden="false" customHeight="true" outlineLevel="0" collapsed="false"/>
    <row r="9" customFormat="false" ht="27.75" hidden="false" customHeight="true" outlineLevel="0" collapsed="false">
      <c r="A9" s="3" t="s">
        <v>60</v>
      </c>
      <c r="B9" s="3" t="s">
        <v>2</v>
      </c>
      <c r="C9" s="3" t="s">
        <v>18</v>
      </c>
      <c r="D9" s="3" t="s">
        <v>42</v>
      </c>
      <c r="E9" s="3" t="s">
        <v>43</v>
      </c>
      <c r="F9" s="3" t="s">
        <v>44</v>
      </c>
      <c r="G9" s="3" t="s">
        <v>61</v>
      </c>
    </row>
    <row r="10" customFormat="false" ht="15" hidden="false" customHeight="false" outlineLevel="0" collapsed="false">
      <c r="A10" s="37" t="str">
        <f aca="false">Calculations!A5</f>
        <v>Emeka Obi</v>
      </c>
      <c r="B10" s="37" t="str">
        <f aca="false">'Farmer Data'!B4</f>
        <v>Maize</v>
      </c>
      <c r="C10" s="38" t="n">
        <f aca="false">'Farmer Data'!C4</f>
        <v>3</v>
      </c>
      <c r="D10" s="20" t="n">
        <f aca="false">Calculations!C5</f>
        <v>1.7825311942959</v>
      </c>
      <c r="E10" s="21" t="n">
        <f aca="false">Calculations!D5</f>
        <v>213903.743315508</v>
      </c>
      <c r="F10" s="20" t="n">
        <f aca="false">Calculations!E5</f>
        <v>2.3375</v>
      </c>
      <c r="G10" s="39" t="str">
        <f aca="false">Calculations!F5</f>
        <v>❌ Reject</v>
      </c>
    </row>
    <row r="11" customFormat="false" ht="15" hidden="false" customHeight="false" outlineLevel="0" collapsed="false">
      <c r="A11" s="40" t="str">
        <f aca="false">Calculations!A6</f>
        <v>Amina Bello</v>
      </c>
      <c r="B11" s="40" t="str">
        <f aca="false">'Farmer Data'!B5</f>
        <v>Rice</v>
      </c>
      <c r="C11" s="41" t="n">
        <f aca="false">'Farmer Data'!C5</f>
        <v>5</v>
      </c>
      <c r="D11" s="16" t="n">
        <f aca="false">Calculations!C6</f>
        <v>2.28130360205832</v>
      </c>
      <c r="E11" s="17" t="n">
        <f aca="false">Calculations!D6</f>
        <v>1482847.34133791</v>
      </c>
      <c r="F11" s="16" t="n">
        <f aca="false">Calculations!E6</f>
        <v>0.60694042799306</v>
      </c>
      <c r="G11" s="42" t="str">
        <f aca="false">Calculations!F6</f>
        <v>🟡 Conditional</v>
      </c>
    </row>
    <row r="12" customFormat="false" ht="15" hidden="false" customHeight="false" outlineLevel="0" collapsed="false">
      <c r="A12" s="37" t="str">
        <f aca="false">Calculations!A7</f>
        <v>Tunde Adeyemi</v>
      </c>
      <c r="B12" s="37" t="str">
        <f aca="false">'Farmer Data'!B6</f>
        <v>Cassava</v>
      </c>
      <c r="C12" s="38" t="n">
        <f aca="false">'Farmer Data'!C6</f>
        <v>2</v>
      </c>
      <c r="D12" s="20" t="n">
        <f aca="false">Calculations!C7</f>
        <v>5.57142857142857</v>
      </c>
      <c r="E12" s="21" t="n">
        <f aca="false">Calculations!D7</f>
        <v>445714.285714286</v>
      </c>
      <c r="F12" s="20" t="n">
        <f aca="false">Calculations!E7</f>
        <v>0.673076923076923</v>
      </c>
      <c r="G12" s="39" t="str">
        <f aca="false">Calculations!F7</f>
        <v>🟡 Conditional</v>
      </c>
    </row>
    <row r="13" customFormat="false" ht="15" hidden="false" customHeight="false" outlineLevel="0" collapsed="false">
      <c r="A13" s="40" t="str">
        <f aca="false">Calculations!A8</f>
        <v>Ngozi Eze</v>
      </c>
      <c r="B13" s="40" t="str">
        <f aca="false">'Farmer Data'!B7</f>
        <v>Soybeans</v>
      </c>
      <c r="C13" s="41" t="n">
        <f aca="false">'Farmer Data'!C7</f>
        <v>4</v>
      </c>
      <c r="D13" s="16" t="n">
        <f aca="false">Calculations!C8</f>
        <v>1.3125</v>
      </c>
      <c r="E13" s="17" t="n">
        <f aca="false">Calculations!D8</f>
        <v>525000</v>
      </c>
      <c r="F13" s="16" t="n">
        <f aca="false">Calculations!E8</f>
        <v>1.14285714285714</v>
      </c>
      <c r="G13" s="42" t="str">
        <f aca="false">Calculations!F8</f>
        <v>❌ Reject</v>
      </c>
    </row>
    <row r="14" customFormat="false" ht="15" hidden="false" customHeight="false" outlineLevel="0" collapsed="false">
      <c r="A14" s="37" t="str">
        <f aca="false">Calculations!A9</f>
        <v>Chukwu Nwosu</v>
      </c>
      <c r="B14" s="37" t="str">
        <f aca="false">'Farmer Data'!B8</f>
        <v>Maize</v>
      </c>
      <c r="C14" s="38" t="n">
        <f aca="false">'Farmer Data'!C8</f>
        <v>1</v>
      </c>
      <c r="D14" s="20" t="n">
        <f aca="false">Calculations!C9</f>
        <v>0.668449197860963</v>
      </c>
      <c r="E14" s="21" t="n">
        <f aca="false">Calculations!D9</f>
        <v>80213.9037433155</v>
      </c>
      <c r="F14" s="20" t="n">
        <f aca="false">Calculations!E9</f>
        <v>2.49333333333333</v>
      </c>
      <c r="G14" s="39" t="str">
        <f aca="false">Calculations!F9</f>
        <v>❌ Reject</v>
      </c>
    </row>
    <row r="15" customFormat="false" ht="15" hidden="false" customHeight="false" outlineLevel="0" collapsed="false">
      <c r="A15" s="40" t="str">
        <f aca="false">Calculations!A10</f>
        <v>Fatima Usman</v>
      </c>
      <c r="B15" s="40" t="str">
        <f aca="false">'Farmer Data'!B9</f>
        <v>Rice</v>
      </c>
      <c r="C15" s="41" t="n">
        <f aca="false">'Farmer Data'!C9</f>
        <v>8</v>
      </c>
      <c r="D15" s="16" t="n">
        <f aca="false">Calculations!C10</f>
        <v>3.91080617495712</v>
      </c>
      <c r="E15" s="17" t="n">
        <f aca="false">Calculations!D10</f>
        <v>2542024.01372213</v>
      </c>
      <c r="F15" s="16" t="n">
        <f aca="false">Calculations!E10</f>
        <v>0.590080971659919</v>
      </c>
      <c r="G15" s="42" t="str">
        <f aca="false">Calculations!F10</f>
        <v>🟡 Conditional</v>
      </c>
    </row>
    <row r="16" customFormat="false" ht="15" hidden="false" customHeight="false" outlineLevel="0" collapsed="false">
      <c r="A16" s="37" t="str">
        <f aca="false">Calculations!A11</f>
        <v>Segun Adebayo</v>
      </c>
      <c r="B16" s="37" t="str">
        <f aca="false">'Farmer Data'!B10</f>
        <v>Cassava</v>
      </c>
      <c r="C16" s="38" t="n">
        <f aca="false">'Farmer Data'!C10</f>
        <v>6</v>
      </c>
      <c r="D16" s="20" t="n">
        <f aca="false">Calculations!C11</f>
        <v>25.0714285714286</v>
      </c>
      <c r="E16" s="21" t="n">
        <f aca="false">Calculations!D11</f>
        <v>2005714.28571429</v>
      </c>
      <c r="F16" s="20" t="n">
        <f aca="false">Calculations!E11</f>
        <v>0.349002849002849</v>
      </c>
      <c r="G16" s="39" t="str">
        <f aca="false">Calculations!F11</f>
        <v>✅ Approve</v>
      </c>
    </row>
    <row r="17" customFormat="false" ht="15" hidden="false" customHeight="false" outlineLevel="0" collapsed="false">
      <c r="A17" s="40" t="str">
        <f aca="false">Calculations!A12</f>
        <v>Binta Garba</v>
      </c>
      <c r="B17" s="40" t="str">
        <f aca="false">'Farmer Data'!B11</f>
        <v>Soybeans</v>
      </c>
      <c r="C17" s="41" t="n">
        <f aca="false">'Farmer Data'!C11</f>
        <v>2</v>
      </c>
      <c r="D17" s="16" t="n">
        <f aca="false">Calculations!C12</f>
        <v>0.75</v>
      </c>
      <c r="E17" s="17" t="n">
        <f aca="false">Calculations!D12</f>
        <v>300000</v>
      </c>
      <c r="F17" s="16" t="n">
        <f aca="false">Calculations!E12</f>
        <v>1.33333333333333</v>
      </c>
      <c r="G17" s="42" t="str">
        <f aca="false">Calculations!F12</f>
        <v>❌ Reject</v>
      </c>
    </row>
    <row r="18" customFormat="false" ht="15" hidden="false" customHeight="false" outlineLevel="0" collapsed="false">
      <c r="A18" s="37" t="str">
        <f aca="false">Calculations!A13</f>
        <v>Olu Martins</v>
      </c>
      <c r="B18" s="37" t="str">
        <f aca="false">'Farmer Data'!B12</f>
        <v>Maize</v>
      </c>
      <c r="C18" s="38" t="n">
        <f aca="false">'Farmer Data'!C12</f>
        <v>10</v>
      </c>
      <c r="D18" s="20" t="n">
        <f aca="false">Calculations!C13</f>
        <v>5.3475935828877</v>
      </c>
      <c r="E18" s="21" t="n">
        <f aca="false">Calculations!D13</f>
        <v>641711.229946524</v>
      </c>
      <c r="F18" s="20" t="n">
        <f aca="false">Calculations!E13</f>
        <v>3.11666666666667</v>
      </c>
      <c r="G18" s="39" t="str">
        <f aca="false">Calculations!F13</f>
        <v>❌ Reject</v>
      </c>
    </row>
    <row r="19" customFormat="false" ht="15" hidden="false" customHeight="false" outlineLevel="0" collapsed="false">
      <c r="A19" s="40" t="str">
        <f aca="false">Calculations!A14</f>
        <v>Chioma Okafor</v>
      </c>
      <c r="B19" s="40" t="str">
        <f aca="false">'Farmer Data'!B13</f>
        <v>Rice</v>
      </c>
      <c r="C19" s="41" t="n">
        <f aca="false">'Farmer Data'!C13</f>
        <v>3</v>
      </c>
      <c r="D19" s="16" t="n">
        <f aca="false">Calculations!C14</f>
        <v>1.30360205831904</v>
      </c>
      <c r="E19" s="17" t="n">
        <f aca="false">Calculations!D14</f>
        <v>847341.337907376</v>
      </c>
      <c r="F19" s="16" t="n">
        <f aca="false">Calculations!E14</f>
        <v>0.413056680161943</v>
      </c>
      <c r="G19" s="42" t="str">
        <f aca="false">Calculations!F14</f>
        <v>✅ Approve</v>
      </c>
    </row>
    <row r="20" customFormat="false" ht="15" hidden="false" customHeight="false" outlineLevel="0" collapsed="false">
      <c r="A20" s="37" t="str">
        <f aca="false">Calculations!A15</f>
        <v>Musa Danladi</v>
      </c>
      <c r="B20" s="37" t="str">
        <f aca="false">'Farmer Data'!B14</f>
        <v>Cassava</v>
      </c>
      <c r="C20" s="38" t="n">
        <f aca="false">'Farmer Data'!C14</f>
        <v>7</v>
      </c>
      <c r="D20" s="20" t="n">
        <f aca="false">Calculations!C15</f>
        <v>15.6</v>
      </c>
      <c r="E20" s="21" t="n">
        <f aca="false">Calculations!D15</f>
        <v>1248000</v>
      </c>
      <c r="F20" s="20" t="n">
        <f aca="false">Calculations!E15</f>
        <v>0.641025641025641</v>
      </c>
      <c r="G20" s="39" t="str">
        <f aca="false">Calculations!F15</f>
        <v>🟡 Conditional</v>
      </c>
    </row>
    <row r="21" customFormat="false" ht="15" hidden="false" customHeight="false" outlineLevel="0" collapsed="false">
      <c r="A21" s="40" t="str">
        <f aca="false">Calculations!A16</f>
        <v>Yetunde Lawal</v>
      </c>
      <c r="B21" s="40" t="str">
        <f aca="false">'Farmer Data'!B15</f>
        <v>Maize</v>
      </c>
      <c r="C21" s="41" t="n">
        <f aca="false">'Farmer Data'!C15</f>
        <v>2</v>
      </c>
      <c r="D21" s="16" t="n">
        <f aca="false">Calculations!C16</f>
        <v>1.11408199643494</v>
      </c>
      <c r="E21" s="17" t="n">
        <f aca="false">Calculations!D16</f>
        <v>133689.839572193</v>
      </c>
      <c r="F21" s="16" t="n">
        <f aca="false">Calculations!E16</f>
        <v>2.244</v>
      </c>
      <c r="G21" s="42" t="str">
        <f aca="false">Calculations!F16</f>
        <v>❌ Reject</v>
      </c>
    </row>
    <row r="22" customFormat="false" ht="15" hidden="false" customHeight="false" outlineLevel="0" collapsed="false">
      <c r="A22" s="37" t="str">
        <f aca="false">Calculations!A17</f>
        <v>Ibrahim Sule</v>
      </c>
      <c r="B22" s="37" t="str">
        <f aca="false">'Farmer Data'!B16</f>
        <v>Soybeans</v>
      </c>
      <c r="C22" s="38" t="n">
        <f aca="false">'Farmer Data'!C16</f>
        <v>5</v>
      </c>
      <c r="D22" s="20" t="n">
        <f aca="false">Calculations!C17</f>
        <v>2.25</v>
      </c>
      <c r="E22" s="21" t="n">
        <f aca="false">Calculations!D17</f>
        <v>900000</v>
      </c>
      <c r="F22" s="20" t="n">
        <f aca="false">Calculations!E17</f>
        <v>1</v>
      </c>
      <c r="G22" s="39" t="str">
        <f aca="false">Calculations!F17</f>
        <v>❌ Reject</v>
      </c>
    </row>
    <row r="23" customFormat="false" ht="15" hidden="false" customHeight="false" outlineLevel="0" collapsed="false">
      <c r="A23" s="40" t="str">
        <f aca="false">Calculations!A18</f>
        <v>Grace Okoro</v>
      </c>
      <c r="B23" s="40" t="str">
        <f aca="false">'Farmer Data'!B17</f>
        <v>Rice</v>
      </c>
      <c r="C23" s="41" t="n">
        <f aca="false">'Farmer Data'!C17</f>
        <v>4</v>
      </c>
      <c r="D23" s="16" t="n">
        <f aca="false">Calculations!C18</f>
        <v>2.28130360205832</v>
      </c>
      <c r="E23" s="17" t="n">
        <f aca="false">Calculations!D18</f>
        <v>1482847.34133791</v>
      </c>
      <c r="F23" s="16" t="n">
        <f aca="false">Calculations!E18</f>
        <v>0.337189126662811</v>
      </c>
      <c r="G23" s="42" t="str">
        <f aca="false">Calculations!F18</f>
        <v>✅ Approve</v>
      </c>
    </row>
    <row r="24" customFormat="false" ht="15" hidden="false" customHeight="false" outlineLevel="0" collapsed="false">
      <c r="A24" s="37" t="str">
        <f aca="false">Calculations!A19</f>
        <v>Dele Ogunleye</v>
      </c>
      <c r="B24" s="37" t="str">
        <f aca="false">'Farmer Data'!B18</f>
        <v>Cassava</v>
      </c>
      <c r="C24" s="38" t="n">
        <f aca="false">'Farmer Data'!C18</f>
        <v>9</v>
      </c>
      <c r="D24" s="20" t="n">
        <f aca="false">Calculations!C19</f>
        <v>30.6428571428571</v>
      </c>
      <c r="E24" s="21" t="n">
        <f aca="false">Calculations!D19</f>
        <v>2451428.57142857</v>
      </c>
      <c r="F24" s="20" t="n">
        <f aca="false">Calculations!E19</f>
        <v>0.489510489510489</v>
      </c>
      <c r="G24" s="39" t="str">
        <f aca="false">Calculations!F19</f>
        <v>✅ Approve</v>
      </c>
    </row>
    <row r="26" customFormat="false" ht="15" hidden="false" customHeight="false" outlineLevel="0" collapsed="false">
      <c r="A26" s="12" t="s">
        <v>62</v>
      </c>
      <c r="B26" s="12"/>
      <c r="C26" s="12"/>
      <c r="D26" s="12"/>
      <c r="E26" s="12"/>
      <c r="F26" s="12"/>
      <c r="G26" s="12"/>
    </row>
  </sheetData>
  <mergeCells count="3">
    <mergeCell ref="A1:H1"/>
    <mergeCell ref="A2:H2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2026-03-23T12:43:12Z</dcterms:created>
  <dc:creator>openpyxl</dc:creator>
  <dc:description/>
  <dc:language>en-US</dc:language>
  <cp:lastModifiedBy/>
  <dcterms:modified xsi:type="dcterms:W3CDTF">2026-03-23T12:43:12Z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